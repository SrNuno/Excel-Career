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no\Desktop\Excel-Career\09Excel_VBA\"/>
    </mc:Choice>
  </mc:AlternateContent>
  <xr:revisionPtr revIDLastSave="0" documentId="13_ncr:1_{EAB84E31-B456-4C6B-B5CC-A810D4190830}" xr6:coauthVersionLast="47" xr6:coauthVersionMax="47" xr10:uidLastSave="{00000000-0000-0000-0000-000000000000}"/>
  <bookViews>
    <workbookView xWindow="-105" yWindow="0" windowWidth="17250" windowHeight="16305" firstSheet="7" activeTab="8" xr2:uid="{242C8131-6301-4A07-9CA9-02F5E5F0A07D}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10" r:id="rId9"/>
    <sheet name="Hoja10" sheetId="11" r:id="rId10"/>
    <sheet name="Hoja11" sheetId="12" r:id="rId11"/>
    <sheet name="Hoja12" sheetId="13" r:id="rId12"/>
    <sheet name="Hoja13" sheetId="14" r:id="rId13"/>
  </sheets>
  <functionGroups builtInGroupCount="19"/>
  <definedNames>
    <definedName name="FechaActual">Hoja7!$F$1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8" i="11" l="1"/>
  <c r="D258" i="11"/>
  <c r="C258" i="11"/>
  <c r="E257" i="11"/>
  <c r="D257" i="11"/>
  <c r="C257" i="11"/>
  <c r="E256" i="11"/>
  <c r="D256" i="11"/>
  <c r="C256" i="11"/>
  <c r="E255" i="11"/>
  <c r="D255" i="11"/>
  <c r="C255" i="11"/>
  <c r="E254" i="11"/>
  <c r="D254" i="11"/>
  <c r="C254" i="11"/>
  <c r="E253" i="11"/>
  <c r="D253" i="11"/>
  <c r="C253" i="11"/>
  <c r="E252" i="11"/>
  <c r="D252" i="11"/>
  <c r="C252" i="11"/>
  <c r="E251" i="11"/>
  <c r="D251" i="11"/>
  <c r="C251" i="11"/>
  <c r="E250" i="11"/>
  <c r="D250" i="11"/>
  <c r="C250" i="11"/>
  <c r="E249" i="11"/>
  <c r="D249" i="11"/>
  <c r="C249" i="11"/>
  <c r="E248" i="11"/>
  <c r="D248" i="11"/>
  <c r="C248" i="11"/>
  <c r="E247" i="11"/>
  <c r="D247" i="11"/>
  <c r="C247" i="11"/>
  <c r="E246" i="11"/>
  <c r="D246" i="11"/>
  <c r="C246" i="11"/>
  <c r="E245" i="11"/>
  <c r="D245" i="11"/>
  <c r="C245" i="11"/>
  <c r="E244" i="11"/>
  <c r="D244" i="11"/>
  <c r="C244" i="11"/>
  <c r="E243" i="11"/>
  <c r="D243" i="11"/>
  <c r="C243" i="11"/>
  <c r="E242" i="11"/>
  <c r="D242" i="11"/>
  <c r="C242" i="11"/>
  <c r="E241" i="11"/>
  <c r="D241" i="11"/>
  <c r="C241" i="11"/>
  <c r="E240" i="11"/>
  <c r="D240" i="11"/>
  <c r="C240" i="11"/>
  <c r="E239" i="11"/>
  <c r="D239" i="11"/>
  <c r="C239" i="11"/>
  <c r="E238" i="11"/>
  <c r="D238" i="11"/>
  <c r="C238" i="11"/>
  <c r="E237" i="11"/>
  <c r="D237" i="11"/>
  <c r="C237" i="11"/>
  <c r="E236" i="11"/>
  <c r="D236" i="11"/>
  <c r="C236" i="11"/>
  <c r="E235" i="11"/>
  <c r="D235" i="11"/>
  <c r="C235" i="11"/>
  <c r="E234" i="11"/>
  <c r="D234" i="11"/>
  <c r="C234" i="11"/>
  <c r="E233" i="11"/>
  <c r="D233" i="11"/>
  <c r="C233" i="11"/>
  <c r="E232" i="11"/>
  <c r="D232" i="11"/>
  <c r="C232" i="11"/>
  <c r="E231" i="11"/>
  <c r="D231" i="11"/>
  <c r="C231" i="11"/>
  <c r="E230" i="11"/>
  <c r="D230" i="11"/>
  <c r="C230" i="11"/>
  <c r="E229" i="11"/>
  <c r="D229" i="11"/>
  <c r="C229" i="11"/>
  <c r="E228" i="11"/>
  <c r="D228" i="11"/>
  <c r="C228" i="11"/>
  <c r="E227" i="11"/>
  <c r="D227" i="11"/>
  <c r="C227" i="11"/>
  <c r="E226" i="11"/>
  <c r="D226" i="11"/>
  <c r="C226" i="11"/>
  <c r="E225" i="11"/>
  <c r="D225" i="11"/>
  <c r="C225" i="11"/>
  <c r="E224" i="11"/>
  <c r="D224" i="11"/>
  <c r="C224" i="11"/>
  <c r="E223" i="11"/>
  <c r="D223" i="11"/>
  <c r="C223" i="11"/>
  <c r="E222" i="11"/>
  <c r="D222" i="11"/>
  <c r="C222" i="11"/>
  <c r="E221" i="11"/>
  <c r="D221" i="11"/>
  <c r="C221" i="11"/>
  <c r="E220" i="11"/>
  <c r="D220" i="11"/>
  <c r="C220" i="11"/>
  <c r="E219" i="11"/>
  <c r="D219" i="11"/>
  <c r="C219" i="11"/>
  <c r="E218" i="11"/>
  <c r="D218" i="11"/>
  <c r="C218" i="11"/>
  <c r="E217" i="11"/>
  <c r="D217" i="11"/>
  <c r="C217" i="11"/>
  <c r="E216" i="11"/>
  <c r="D216" i="11"/>
  <c r="C216" i="11"/>
  <c r="E215" i="11"/>
  <c r="D215" i="11"/>
  <c r="C215" i="11"/>
  <c r="E214" i="11"/>
  <c r="D214" i="11"/>
  <c r="C214" i="11"/>
  <c r="E213" i="11"/>
  <c r="D213" i="11"/>
  <c r="C213" i="11"/>
  <c r="E212" i="11"/>
  <c r="D212" i="11"/>
  <c r="C212" i="11"/>
  <c r="E211" i="11"/>
  <c r="D211" i="11"/>
  <c r="C211" i="11"/>
  <c r="E210" i="11"/>
  <c r="D210" i="11"/>
  <c r="C210" i="11"/>
  <c r="E209" i="11"/>
  <c r="D209" i="11"/>
  <c r="C209" i="11"/>
  <c r="E208" i="11"/>
  <c r="D208" i="11"/>
  <c r="C208" i="11"/>
  <c r="E207" i="11"/>
  <c r="D207" i="11"/>
  <c r="C207" i="11"/>
  <c r="E206" i="11"/>
  <c r="D206" i="11"/>
  <c r="C206" i="11"/>
  <c r="E205" i="11"/>
  <c r="D205" i="11"/>
  <c r="C205" i="11"/>
  <c r="E204" i="11"/>
  <c r="D204" i="11"/>
  <c r="C204" i="11"/>
  <c r="E203" i="11"/>
  <c r="D203" i="11"/>
  <c r="C203" i="11"/>
  <c r="E202" i="11"/>
  <c r="D202" i="11"/>
  <c r="C202" i="11"/>
  <c r="E201" i="11"/>
  <c r="D201" i="11"/>
  <c r="C201" i="11"/>
  <c r="E200" i="11"/>
  <c r="D200" i="11"/>
  <c r="C200" i="11"/>
  <c r="E199" i="11"/>
  <c r="D199" i="11"/>
  <c r="C199" i="11"/>
  <c r="E198" i="11"/>
  <c r="D198" i="11"/>
  <c r="C198" i="11"/>
  <c r="E197" i="11"/>
  <c r="D197" i="11"/>
  <c r="C197" i="11"/>
  <c r="E196" i="11"/>
  <c r="D196" i="11"/>
  <c r="C196" i="11"/>
  <c r="E195" i="11"/>
  <c r="D195" i="11"/>
  <c r="C195" i="11"/>
  <c r="E194" i="11"/>
  <c r="D194" i="11"/>
  <c r="C194" i="11"/>
  <c r="E193" i="11"/>
  <c r="D193" i="11"/>
  <c r="C193" i="11"/>
  <c r="E192" i="11"/>
  <c r="D192" i="11"/>
  <c r="C192" i="11"/>
  <c r="E191" i="11"/>
  <c r="D191" i="11"/>
  <c r="C191" i="11"/>
  <c r="E190" i="11"/>
  <c r="D190" i="11"/>
  <c r="C190" i="11"/>
  <c r="E189" i="11"/>
  <c r="D189" i="11"/>
  <c r="C189" i="11"/>
  <c r="E188" i="11"/>
  <c r="D188" i="11"/>
  <c r="C188" i="11"/>
  <c r="E187" i="11"/>
  <c r="D187" i="11"/>
  <c r="C187" i="11"/>
  <c r="E186" i="11"/>
  <c r="D186" i="11"/>
  <c r="C186" i="11"/>
  <c r="E185" i="11"/>
  <c r="D185" i="11"/>
  <c r="C185" i="11"/>
  <c r="E184" i="11"/>
  <c r="D184" i="11"/>
  <c r="C184" i="11"/>
  <c r="E183" i="11"/>
  <c r="D183" i="11"/>
  <c r="C183" i="11"/>
  <c r="E182" i="11"/>
  <c r="D182" i="11"/>
  <c r="C182" i="11"/>
  <c r="E181" i="11"/>
  <c r="D181" i="11"/>
  <c r="C181" i="11"/>
  <c r="E180" i="11"/>
  <c r="D180" i="11"/>
  <c r="C180" i="11"/>
  <c r="E179" i="11"/>
  <c r="D179" i="11"/>
  <c r="C179" i="11"/>
  <c r="E178" i="11"/>
  <c r="D178" i="11"/>
  <c r="C178" i="11"/>
  <c r="E177" i="11"/>
  <c r="D177" i="11"/>
  <c r="C177" i="11"/>
  <c r="E176" i="11"/>
  <c r="D176" i="11"/>
  <c r="C176" i="11"/>
  <c r="E175" i="11"/>
  <c r="D175" i="11"/>
  <c r="C175" i="11"/>
  <c r="E174" i="11"/>
  <c r="D174" i="11"/>
  <c r="C174" i="11"/>
  <c r="E173" i="11"/>
  <c r="D173" i="11"/>
  <c r="C173" i="11"/>
  <c r="E172" i="11"/>
  <c r="D172" i="11"/>
  <c r="C172" i="11"/>
  <c r="E171" i="11"/>
  <c r="D171" i="11"/>
  <c r="C171" i="11"/>
  <c r="E170" i="11"/>
  <c r="D170" i="11"/>
  <c r="C170" i="11"/>
  <c r="E169" i="11"/>
  <c r="D169" i="11"/>
  <c r="C169" i="11"/>
  <c r="E168" i="11"/>
  <c r="D168" i="11"/>
  <c r="C168" i="11"/>
  <c r="E167" i="11"/>
  <c r="D167" i="11"/>
  <c r="C167" i="11"/>
  <c r="E166" i="11"/>
  <c r="D166" i="11"/>
  <c r="C166" i="11"/>
  <c r="E165" i="11"/>
  <c r="D165" i="11"/>
  <c r="C165" i="11"/>
  <c r="E164" i="11"/>
  <c r="D164" i="11"/>
  <c r="C164" i="11"/>
  <c r="E163" i="11"/>
  <c r="D163" i="11"/>
  <c r="C163" i="11"/>
  <c r="E162" i="11"/>
  <c r="D162" i="11"/>
  <c r="C162" i="11"/>
  <c r="E161" i="11"/>
  <c r="D161" i="11"/>
  <c r="C161" i="11"/>
  <c r="E160" i="11"/>
  <c r="D160" i="11"/>
  <c r="C160" i="11"/>
  <c r="E159" i="11"/>
  <c r="D159" i="11"/>
  <c r="C159" i="11"/>
  <c r="E158" i="11"/>
  <c r="D158" i="11"/>
  <c r="C158" i="11"/>
  <c r="E157" i="11"/>
  <c r="D157" i="11"/>
  <c r="C157" i="11"/>
  <c r="E156" i="11"/>
  <c r="D156" i="11"/>
  <c r="C156" i="11"/>
  <c r="E155" i="11"/>
  <c r="D155" i="11"/>
  <c r="C155" i="11"/>
  <c r="E154" i="11"/>
  <c r="D154" i="11"/>
  <c r="C154" i="11"/>
  <c r="E153" i="11"/>
  <c r="D153" i="11"/>
  <c r="C153" i="11"/>
  <c r="E152" i="11"/>
  <c r="D152" i="11"/>
  <c r="C152" i="11"/>
  <c r="E151" i="11"/>
  <c r="D151" i="11"/>
  <c r="C151" i="11"/>
  <c r="E150" i="11"/>
  <c r="D150" i="11"/>
  <c r="C150" i="11"/>
  <c r="E149" i="11"/>
  <c r="D149" i="11"/>
  <c r="C149" i="11"/>
  <c r="E148" i="11"/>
  <c r="D148" i="11"/>
  <c r="C148" i="11"/>
  <c r="E147" i="11"/>
  <c r="D147" i="11"/>
  <c r="C147" i="11"/>
  <c r="E146" i="11"/>
  <c r="D146" i="11"/>
  <c r="C146" i="11"/>
  <c r="E145" i="11"/>
  <c r="D145" i="11"/>
  <c r="C145" i="11"/>
  <c r="E144" i="11"/>
  <c r="D144" i="11"/>
  <c r="C144" i="11"/>
  <c r="E143" i="11"/>
  <c r="D143" i="11"/>
  <c r="C143" i="11"/>
  <c r="E142" i="11"/>
  <c r="D142" i="11"/>
  <c r="C142" i="11"/>
  <c r="E141" i="11"/>
  <c r="D141" i="11"/>
  <c r="C141" i="11"/>
  <c r="E140" i="11"/>
  <c r="D140" i="11"/>
  <c r="C140" i="11"/>
  <c r="E139" i="11"/>
  <c r="D139" i="11"/>
  <c r="C139" i="11"/>
  <c r="E138" i="11"/>
  <c r="D138" i="11"/>
  <c r="C138" i="11"/>
  <c r="E137" i="11"/>
  <c r="D137" i="11"/>
  <c r="C137" i="11"/>
  <c r="E136" i="11"/>
  <c r="D136" i="11"/>
  <c r="C136" i="11"/>
  <c r="E135" i="11"/>
  <c r="D135" i="11"/>
  <c r="C135" i="11"/>
  <c r="E134" i="11"/>
  <c r="D134" i="11"/>
  <c r="C134" i="11"/>
  <c r="E133" i="11"/>
  <c r="D133" i="11"/>
  <c r="C133" i="11"/>
  <c r="E132" i="11"/>
  <c r="D132" i="11"/>
  <c r="C132" i="11"/>
  <c r="E131" i="11"/>
  <c r="D131" i="11"/>
  <c r="C131" i="11"/>
  <c r="E130" i="11"/>
  <c r="D130" i="11"/>
  <c r="C130" i="11"/>
  <c r="E129" i="11"/>
  <c r="D129" i="11"/>
  <c r="C129" i="11"/>
  <c r="E128" i="11"/>
  <c r="D128" i="11"/>
  <c r="C128" i="11"/>
  <c r="E127" i="11"/>
  <c r="D127" i="11"/>
  <c r="C127" i="11"/>
  <c r="E126" i="11"/>
  <c r="D126" i="11"/>
  <c r="C126" i="11"/>
  <c r="E125" i="11"/>
  <c r="D125" i="11"/>
  <c r="C125" i="11"/>
  <c r="E124" i="11"/>
  <c r="D124" i="11"/>
  <c r="C124" i="11"/>
  <c r="E123" i="11"/>
  <c r="D123" i="11"/>
  <c r="C123" i="11"/>
  <c r="E122" i="11"/>
  <c r="D122" i="11"/>
  <c r="C122" i="11"/>
  <c r="E121" i="11"/>
  <c r="D121" i="11"/>
  <c r="C121" i="11"/>
  <c r="E120" i="11"/>
  <c r="D120" i="11"/>
  <c r="C120" i="11"/>
  <c r="E119" i="11"/>
  <c r="D119" i="11"/>
  <c r="C119" i="11"/>
  <c r="E118" i="11"/>
  <c r="D118" i="11"/>
  <c r="C118" i="11"/>
  <c r="E117" i="11"/>
  <c r="D117" i="11"/>
  <c r="C117" i="11"/>
  <c r="E116" i="11"/>
  <c r="D116" i="11"/>
  <c r="C116" i="11"/>
  <c r="E115" i="11"/>
  <c r="D115" i="11"/>
  <c r="C115" i="11"/>
  <c r="E114" i="11"/>
  <c r="D114" i="11"/>
  <c r="C114" i="11"/>
  <c r="E113" i="11"/>
  <c r="D113" i="11"/>
  <c r="C113" i="11"/>
  <c r="E112" i="11"/>
  <c r="D112" i="11"/>
  <c r="C112" i="11"/>
  <c r="E111" i="11"/>
  <c r="D111" i="11"/>
  <c r="C111" i="11"/>
  <c r="E110" i="11"/>
  <c r="D110" i="11"/>
  <c r="C110" i="11"/>
  <c r="E109" i="11"/>
  <c r="D109" i="11"/>
  <c r="C109" i="11"/>
  <c r="E108" i="11"/>
  <c r="D108" i="11"/>
  <c r="C108" i="11"/>
  <c r="E107" i="11"/>
  <c r="D107" i="11"/>
  <c r="C107" i="11"/>
  <c r="E106" i="11"/>
  <c r="D106" i="11"/>
  <c r="C106" i="11"/>
  <c r="E105" i="11"/>
  <c r="D105" i="11"/>
  <c r="C105" i="11"/>
  <c r="E104" i="11"/>
  <c r="D104" i="11"/>
  <c r="C104" i="11"/>
  <c r="E103" i="11"/>
  <c r="D103" i="11"/>
  <c r="C103" i="11"/>
  <c r="E102" i="11"/>
  <c r="D102" i="11"/>
  <c r="C102" i="11"/>
  <c r="E101" i="11"/>
  <c r="D101" i="11"/>
  <c r="C101" i="11"/>
  <c r="E100" i="11"/>
  <c r="D100" i="11"/>
  <c r="C100" i="11"/>
  <c r="E99" i="11"/>
  <c r="D99" i="11"/>
  <c r="C99" i="11"/>
  <c r="E98" i="11"/>
  <c r="D98" i="11"/>
  <c r="C98" i="11"/>
  <c r="E97" i="11"/>
  <c r="D97" i="11"/>
  <c r="C97" i="11"/>
  <c r="E96" i="11"/>
  <c r="D96" i="11"/>
  <c r="C96" i="11"/>
  <c r="E95" i="11"/>
  <c r="D95" i="11"/>
  <c r="C95" i="11"/>
  <c r="E94" i="11"/>
  <c r="D94" i="11"/>
  <c r="C94" i="11"/>
  <c r="E93" i="11"/>
  <c r="D93" i="11"/>
  <c r="C93" i="11"/>
  <c r="E92" i="11"/>
  <c r="D92" i="11"/>
  <c r="C92" i="11"/>
  <c r="E91" i="11"/>
  <c r="D91" i="11"/>
  <c r="C91" i="11"/>
  <c r="E90" i="11"/>
  <c r="D90" i="11"/>
  <c r="C90" i="11"/>
  <c r="E89" i="11"/>
  <c r="D89" i="11"/>
  <c r="C89" i="11"/>
  <c r="E88" i="11"/>
  <c r="D88" i="11"/>
  <c r="C88" i="11"/>
  <c r="E87" i="11"/>
  <c r="D87" i="11"/>
  <c r="C87" i="11"/>
  <c r="E86" i="11"/>
  <c r="D86" i="11"/>
  <c r="C86" i="11"/>
  <c r="E85" i="11"/>
  <c r="D85" i="11"/>
  <c r="C85" i="11"/>
  <c r="E84" i="11"/>
  <c r="D84" i="11"/>
  <c r="C84" i="11"/>
  <c r="E83" i="11"/>
  <c r="D83" i="11"/>
  <c r="C83" i="11"/>
  <c r="E82" i="11"/>
  <c r="D82" i="11"/>
  <c r="C82" i="11"/>
  <c r="E81" i="11"/>
  <c r="D81" i="11"/>
  <c r="C81" i="11"/>
  <c r="E80" i="11"/>
  <c r="D80" i="11"/>
  <c r="C80" i="11"/>
  <c r="E79" i="11"/>
  <c r="D79" i="11"/>
  <c r="C79" i="11"/>
  <c r="E78" i="11"/>
  <c r="D78" i="11"/>
  <c r="C78" i="11"/>
  <c r="E77" i="11"/>
  <c r="D77" i="11"/>
  <c r="C77" i="11"/>
  <c r="E76" i="11"/>
  <c r="D76" i="11"/>
  <c r="C76" i="11"/>
  <c r="E75" i="11"/>
  <c r="D75" i="11"/>
  <c r="C75" i="11"/>
  <c r="E74" i="11"/>
  <c r="D74" i="11"/>
  <c r="C74" i="11"/>
  <c r="E73" i="11"/>
  <c r="D73" i="11"/>
  <c r="C73" i="11"/>
  <c r="E72" i="11"/>
  <c r="D72" i="11"/>
  <c r="C72" i="11"/>
  <c r="E71" i="11"/>
  <c r="D71" i="11"/>
  <c r="C71" i="11"/>
  <c r="E70" i="11"/>
  <c r="D70" i="11"/>
  <c r="C70" i="11"/>
  <c r="E69" i="11"/>
  <c r="D69" i="11"/>
  <c r="C69" i="11"/>
  <c r="E68" i="11"/>
  <c r="D68" i="11"/>
  <c r="C68" i="11"/>
  <c r="E67" i="11"/>
  <c r="D67" i="11"/>
  <c r="C67" i="11"/>
  <c r="E66" i="11"/>
  <c r="D66" i="11"/>
  <c r="C66" i="11"/>
  <c r="E65" i="11"/>
  <c r="D65" i="11"/>
  <c r="C65" i="11"/>
  <c r="E64" i="11"/>
  <c r="D64" i="11"/>
  <c r="C64" i="11"/>
  <c r="E63" i="11"/>
  <c r="D63" i="11"/>
  <c r="C63" i="11"/>
  <c r="E62" i="11"/>
  <c r="D62" i="11"/>
  <c r="C62" i="11"/>
  <c r="E61" i="11"/>
  <c r="D61" i="11"/>
  <c r="C61" i="11"/>
  <c r="E60" i="11"/>
  <c r="D60" i="11"/>
  <c r="C60" i="11"/>
  <c r="E59" i="11"/>
  <c r="D59" i="11"/>
  <c r="C59" i="11"/>
  <c r="E58" i="11"/>
  <c r="D58" i="11"/>
  <c r="C58" i="11"/>
  <c r="E57" i="11"/>
  <c r="D57" i="11"/>
  <c r="C57" i="11"/>
  <c r="E56" i="11"/>
  <c r="D56" i="11"/>
  <c r="C56" i="11"/>
  <c r="E55" i="11"/>
  <c r="D55" i="11"/>
  <c r="C55" i="11"/>
  <c r="E54" i="11"/>
  <c r="D54" i="11"/>
  <c r="C54" i="11"/>
  <c r="E53" i="11"/>
  <c r="D53" i="11"/>
  <c r="C53" i="11"/>
  <c r="E52" i="11"/>
  <c r="D52" i="11"/>
  <c r="C52" i="11"/>
  <c r="E51" i="11"/>
  <c r="D51" i="11"/>
  <c r="C51" i="11"/>
  <c r="E50" i="11"/>
  <c r="D50" i="11"/>
  <c r="C50" i="11"/>
  <c r="E49" i="11"/>
  <c r="D49" i="11"/>
  <c r="C49" i="11"/>
  <c r="E48" i="11"/>
  <c r="D48" i="11"/>
  <c r="C48" i="11"/>
  <c r="E47" i="11"/>
  <c r="D47" i="11"/>
  <c r="C47" i="11"/>
  <c r="E46" i="11"/>
  <c r="D46" i="11"/>
  <c r="C46" i="11"/>
  <c r="E45" i="11"/>
  <c r="D45" i="11"/>
  <c r="C45" i="11"/>
  <c r="E44" i="11"/>
  <c r="D44" i="11"/>
  <c r="C44" i="11"/>
  <c r="E43" i="11"/>
  <c r="D43" i="11"/>
  <c r="C43" i="11"/>
  <c r="E42" i="11"/>
  <c r="D42" i="11"/>
  <c r="C42" i="11"/>
  <c r="E41" i="11"/>
  <c r="D41" i="11"/>
  <c r="C41" i="11"/>
  <c r="E40" i="11"/>
  <c r="D40" i="11"/>
  <c r="C40" i="11"/>
  <c r="E39" i="11"/>
  <c r="D39" i="11"/>
  <c r="C39" i="11"/>
  <c r="E38" i="11"/>
  <c r="D38" i="11"/>
  <c r="C38" i="11"/>
  <c r="E37" i="11"/>
  <c r="D37" i="11"/>
  <c r="C37" i="11"/>
  <c r="E36" i="11"/>
  <c r="D36" i="11"/>
  <c r="C36" i="11"/>
  <c r="E35" i="11"/>
  <c r="D35" i="11"/>
  <c r="C35" i="11"/>
  <c r="E34" i="11"/>
  <c r="D34" i="11"/>
  <c r="C34" i="11"/>
  <c r="E33" i="11"/>
  <c r="D33" i="11"/>
  <c r="C33" i="11"/>
  <c r="E32" i="11"/>
  <c r="D32" i="11"/>
  <c r="C32" i="11"/>
  <c r="E31" i="11"/>
  <c r="D31" i="11"/>
  <c r="C31" i="11"/>
  <c r="E30" i="11"/>
  <c r="D30" i="11"/>
  <c r="C30" i="11"/>
  <c r="E29" i="11"/>
  <c r="D29" i="11"/>
  <c r="C29" i="11"/>
  <c r="E28" i="11"/>
  <c r="D28" i="11"/>
  <c r="C28" i="11"/>
  <c r="E27" i="11"/>
  <c r="D27" i="11"/>
  <c r="C27" i="11"/>
  <c r="E26" i="11"/>
  <c r="D26" i="11"/>
  <c r="C26" i="11"/>
  <c r="E25" i="11"/>
  <c r="D25" i="11"/>
  <c r="C25" i="11"/>
  <c r="E24" i="11"/>
  <c r="D24" i="11"/>
  <c r="C24" i="11"/>
  <c r="E23" i="11"/>
  <c r="D23" i="11"/>
  <c r="C23" i="11"/>
  <c r="E22" i="11"/>
  <c r="D22" i="11"/>
  <c r="C22" i="11"/>
  <c r="E21" i="11"/>
  <c r="D21" i="11"/>
  <c r="C21" i="11"/>
  <c r="E20" i="11"/>
  <c r="D20" i="11"/>
  <c r="C20" i="11"/>
  <c r="E19" i="11"/>
  <c r="D19" i="11"/>
  <c r="C19" i="11"/>
  <c r="E18" i="11"/>
  <c r="D18" i="11"/>
  <c r="C18" i="11"/>
  <c r="E17" i="11"/>
  <c r="D17" i="11"/>
  <c r="C17" i="11"/>
  <c r="E16" i="11"/>
  <c r="D16" i="11"/>
  <c r="C16" i="11"/>
  <c r="E15" i="11"/>
  <c r="D15" i="11"/>
  <c r="C15" i="11"/>
  <c r="E14" i="11"/>
  <c r="D14" i="11"/>
  <c r="C14" i="11"/>
  <c r="E13" i="11"/>
  <c r="D13" i="11"/>
  <c r="C13" i="11"/>
  <c r="E12" i="11"/>
  <c r="D12" i="11"/>
  <c r="C12" i="11"/>
  <c r="E11" i="11"/>
  <c r="D11" i="11"/>
  <c r="C11" i="11"/>
  <c r="E10" i="11"/>
  <c r="D10" i="11"/>
  <c r="C10" i="11"/>
  <c r="E9" i="11"/>
  <c r="D9" i="11"/>
  <c r="C9" i="11"/>
  <c r="E8" i="11"/>
  <c r="D8" i="11"/>
  <c r="C8" i="11"/>
  <c r="E7" i="11"/>
  <c r="D7" i="11"/>
  <c r="C7" i="11"/>
  <c r="E6" i="11"/>
  <c r="D6" i="11"/>
  <c r="C6" i="11"/>
  <c r="E5" i="11"/>
  <c r="D5" i="11"/>
  <c r="C5" i="11"/>
  <c r="E4" i="11"/>
  <c r="D4" i="11"/>
  <c r="C4" i="11"/>
  <c r="E3" i="11"/>
  <c r="D3" i="11"/>
  <c r="C3" i="11"/>
  <c r="E2" i="11"/>
  <c r="D2" i="11"/>
  <c r="C2" i="11"/>
  <c r="E1" i="14" a="1"/>
  <c r="D26" i="8" a="1"/>
  <c r="C13" i="8" a="1"/>
  <c r="B5" i="8" a="1"/>
  <c r="B3" i="6" a="1"/>
  <c r="D2" i="8" a="1"/>
  <c r="B8" i="6" a="1"/>
  <c r="C14" i="8" a="1"/>
  <c r="E26" i="8" a="1"/>
  <c r="D3" i="8" a="1"/>
  <c r="B14" i="8" a="1"/>
  <c r="C11" i="6" a="1"/>
  <c r="E28" i="8" a="1"/>
  <c r="B13" i="8" a="1"/>
  <c r="E27" i="8" a="1"/>
  <c r="C2" i="6" a="1"/>
  <c r="D7" i="8" a="1"/>
  <c r="C30" i="8" a="1"/>
  <c r="B15" i="8" a="1"/>
  <c r="B12" i="8" a="1"/>
  <c r="B4" i="6" a="1"/>
  <c r="C5" i="6" a="1"/>
  <c r="C29" i="8" a="1"/>
  <c r="B2" i="6" a="1"/>
  <c r="B3" i="8" a="1"/>
  <c r="A11" i="12" a="1"/>
  <c r="C27" i="8" a="1"/>
  <c r="C5" i="8" a="1"/>
  <c r="C6" i="6" a="1"/>
  <c r="B11" i="6" a="1"/>
  <c r="C4" i="8" a="1"/>
  <c r="C3" i="6" a="1"/>
  <c r="C6" i="8" a="1"/>
  <c r="D25" i="8" a="1"/>
  <c r="D6" i="8" a="1"/>
  <c r="B4" i="8" a="1"/>
  <c r="B6" i="6" a="1"/>
  <c r="D30" i="8" a="1"/>
  <c r="B6" i="8" a="1"/>
  <c r="B9" i="6" a="1"/>
  <c r="E25" i="8" a="1"/>
  <c r="C28" i="8" a="1"/>
  <c r="B10" i="6" a="1"/>
  <c r="C8" i="6" a="1"/>
  <c r="B7" i="6" a="1"/>
  <c r="E29" i="8" a="1"/>
  <c r="C25" i="8" a="1"/>
  <c r="C2" i="8" a="1"/>
  <c r="C9" i="6" a="1"/>
  <c r="D27" i="8" a="1"/>
  <c r="B2" i="8" a="1"/>
  <c r="E30" i="8" a="1"/>
  <c r="C4" i="6" a="1"/>
  <c r="D28" i="8" a="1"/>
  <c r="C15" i="8" a="1"/>
  <c r="B7" i="8" a="1"/>
  <c r="B5" i="6" a="1"/>
  <c r="D5" i="8" a="1"/>
  <c r="C10" i="6" a="1"/>
  <c r="C3" i="8" a="1"/>
  <c r="C34" i="8" a="1"/>
  <c r="C7" i="6" a="1"/>
  <c r="D4" i="8" a="1"/>
  <c r="C26" i="8" a="1"/>
  <c r="C7" i="8" a="1"/>
  <c r="C12" i="8" a="1"/>
  <c r="D29" i="8" a="1"/>
  <c r="E1" i="14" l="1"/>
  <c r="A11" i="12"/>
  <c r="C34" i="8"/>
  <c r="E30" i="8"/>
  <c r="E28" i="8"/>
  <c r="E26" i="8"/>
  <c r="E29" i="8"/>
  <c r="E27" i="8"/>
  <c r="E25" i="8"/>
  <c r="D25" i="8"/>
  <c r="D30" i="8"/>
  <c r="D28" i="8"/>
  <c r="D26" i="8"/>
  <c r="D29" i="8"/>
  <c r="D27" i="8"/>
  <c r="C30" i="8"/>
  <c r="C28" i="8"/>
  <c r="C29" i="8"/>
  <c r="C27" i="8"/>
  <c r="C26" i="8"/>
  <c r="C25" i="8"/>
  <c r="D2" i="8"/>
  <c r="D6" i="8"/>
  <c r="D4" i="8"/>
  <c r="D7" i="8"/>
  <c r="D5" i="8"/>
  <c r="D3" i="8"/>
  <c r="C15" i="8"/>
  <c r="C13" i="8"/>
  <c r="C14" i="8"/>
  <c r="C12" i="8"/>
  <c r="C6" i="8"/>
  <c r="C4" i="8"/>
  <c r="C7" i="8"/>
  <c r="C5" i="8"/>
  <c r="C3" i="8"/>
  <c r="C2" i="8"/>
  <c r="B15" i="8"/>
  <c r="B13" i="8"/>
  <c r="B14" i="8"/>
  <c r="B12" i="8"/>
  <c r="B7" i="8"/>
  <c r="B5" i="8"/>
  <c r="B3" i="8"/>
  <c r="B6" i="8"/>
  <c r="B4" i="8"/>
  <c r="B2" i="8"/>
  <c r="C5" i="6"/>
  <c r="C11" i="6"/>
  <c r="C9" i="6"/>
  <c r="C7" i="6"/>
  <c r="C10" i="6"/>
  <c r="C8" i="6"/>
  <c r="C6" i="6"/>
  <c r="C4" i="6"/>
  <c r="C2" i="6"/>
  <c r="B11" i="6"/>
  <c r="B9" i="6"/>
  <c r="B7" i="6"/>
  <c r="B5" i="6"/>
  <c r="B3" i="6"/>
  <c r="B10" i="6"/>
  <c r="B8" i="6"/>
  <c r="B6" i="6"/>
  <c r="B4" i="6"/>
  <c r="B2" i="6"/>
  <c r="C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<sst xmlns="http://schemas.openxmlformats.org/spreadsheetml/2006/main" count="178" uniqueCount="56">
  <si>
    <t>Hola</t>
  </si>
  <si>
    <t>Absoluta</t>
  </si>
  <si>
    <t>Relativa</t>
  </si>
  <si>
    <t>Empresa</t>
  </si>
  <si>
    <t>Tipo</t>
  </si>
  <si>
    <t>Cantidad</t>
  </si>
  <si>
    <t>Precio</t>
  </si>
  <si>
    <t>Descripción</t>
  </si>
  <si>
    <t>Total</t>
  </si>
  <si>
    <t>Empresa1</t>
  </si>
  <si>
    <t>Empresa2</t>
  </si>
  <si>
    <t>Dirección</t>
  </si>
  <si>
    <t>CP</t>
  </si>
  <si>
    <t>AA</t>
  </si>
  <si>
    <t>BB</t>
  </si>
  <si>
    <t>CC</t>
  </si>
  <si>
    <t>DD</t>
  </si>
  <si>
    <t>Sol, 5</t>
  </si>
  <si>
    <t>Mayor, 9</t>
  </si>
  <si>
    <t>Arenal, 7</t>
  </si>
  <si>
    <t>Pez, 3</t>
  </si>
  <si>
    <t>EE</t>
  </si>
  <si>
    <t>Goya, 12</t>
  </si>
  <si>
    <t>FF</t>
  </si>
  <si>
    <t>Velázquez, 8</t>
  </si>
  <si>
    <t>España</t>
  </si>
  <si>
    <t>Francia</t>
  </si>
  <si>
    <t>Alemania</t>
  </si>
  <si>
    <t>Italia</t>
  </si>
  <si>
    <t>Lituania</t>
  </si>
  <si>
    <t>Letonia</t>
  </si>
  <si>
    <t>Estonia</t>
  </si>
  <si>
    <t>Círculo</t>
  </si>
  <si>
    <t>Circunferencia</t>
  </si>
  <si>
    <t>Notas</t>
  </si>
  <si>
    <t>Calificacion</t>
  </si>
  <si>
    <t>Ventas</t>
  </si>
  <si>
    <t>6% más de 100.000, sino 3%</t>
  </si>
  <si>
    <t>Resultado</t>
  </si>
  <si>
    <t>Faltas</t>
  </si>
  <si>
    <t>Bienvenido/aMiguel</t>
  </si>
  <si>
    <t>Bruto</t>
  </si>
  <si>
    <t>IVA</t>
  </si>
  <si>
    <t>Hoja1</t>
  </si>
  <si>
    <t>Hoja2</t>
  </si>
  <si>
    <t>Hoja3</t>
  </si>
  <si>
    <t>Hoja4</t>
  </si>
  <si>
    <t>Hoja5</t>
  </si>
  <si>
    <t>Hoja6</t>
  </si>
  <si>
    <t>Hoja7</t>
  </si>
  <si>
    <t>Hoja8</t>
  </si>
  <si>
    <t>Hoja9</t>
  </si>
  <si>
    <t>Hoja10</t>
  </si>
  <si>
    <t>Hoja11</t>
  </si>
  <si>
    <t>Hoja12</t>
  </si>
  <si>
    <t>Hoja13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</si>
</sst>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.00\ \€"/>
  </numFmts>
  <fonts count="7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i/>
      <u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FF00"/>
      <name val="Calibri"/>
      <family val="2"/>
    </font>
    <font>
      <sz val="11"/>
      <color rgb="FF106AE0"/>
      <name val="Calibri"/>
      <family val="2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1" fillId="0" borderId="0" xfId="1" applyNumberFormat="1" applyFont="1"/>
    <xf numFmtId="3" fontId="0" fillId="0" borderId="0" xfId="1" applyNumberFormat="1" applyFont="1"/>
    <xf numFmtId="3" fontId="2" fillId="0" borderId="0" xfId="0" applyNumberFormat="1" applyFont="1"/>
    <xf numFmtId="0" fontId="0" fillId="0" borderId="1" xfId="0" applyBorder="1"/>
    <xf numFmtId="1" fontId="0" fillId="0" borderId="0" xfId="0" applyNumberFormat="1"/>
    <xf numFmtId="14" fontId="0" fillId="0" borderId="0" xfId="0" applyNumberFormat="1"/>
    <xf numFmtId="44" fontId="0" fillId="0" borderId="0" xfId="0" applyNumberFormat="1"/>
    <xf numFmtId="44" fontId="0" fillId="0" borderId="0" xfId="2" applyFont="1"/>
    <xf numFmtId="0" fontId="4" fillId="0" borderId="0" xfId="0" applyFont="1"/>
    <xf numFmtId="0" fontId="5" fillId="0" borderId="0" xfId="0" applyFont="1"/>
    <xf numFmtId="0" fontId="4" fillId="2" borderId="0" xfId="0" applyFont="1" applyFill="1"/>
    <xf numFmtId="0" fontId="5" fillId="2" borderId="0" xfId="0" applyFont="1" applyFill="1"/>
    <xf numFmtId="165" fontId="0" fillId="0" borderId="0" xfId="2" applyNumberFormat="1" applyFont="1"/>
    <xf numFmtId="165" fontId="0" fillId="0" borderId="0" xfId="0" applyNumberFormat="1"/>
    <xf numFmtId="14" fontId="6" fillId="0" borderId="0" xfId="0" applyNumberFormat="1" applyFont="1"/>
    <xf numFmtId="0" fontId="0" fillId="0" borderId="0" xfId="0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38100</xdr:rowOff>
        </xdr:from>
        <xdr:to>
          <xdr:col>11</xdr:col>
          <xdr:colOff>752475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Negrita, cursiva y subrayado</a:t>
              </a:r>
            </a:p>
          </xdr:txBody>
        </xdr:sp>
        <xdr:clientData/>
      </xdr:twoCellAnchor>
    </mc:Choice>
    <mc:Fallback/>
  </mc:AlternateContent>
  <xdr:twoCellAnchor editAs="oneCell">
    <xdr:from>
      <xdr:col>9</xdr:col>
      <xdr:colOff>19050</xdr:colOff>
      <xdr:row>8</xdr:row>
      <xdr:rowOff>19050</xdr:rowOff>
    </xdr:from>
    <xdr:to>
      <xdr:col>10</xdr:col>
      <xdr:colOff>171450</xdr:colOff>
      <xdr:row>12</xdr:row>
      <xdr:rowOff>171450</xdr:rowOff>
    </xdr:to>
    <xdr:pic macro="[0]!negCurvaSubra">
      <xdr:nvPicPr>
        <xdr:cNvPr id="6" name="Gráfico 5" descr="Atrás con relleno sóli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77050" y="154305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4</xdr:row>
          <xdr:rowOff>0</xdr:rowOff>
        </xdr:from>
        <xdr:to>
          <xdr:col>7</xdr:col>
          <xdr:colOff>752475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Empresa1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Empresa2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2F474-3493-4F0C-8BC9-F79DFC2192EE}">
  <sheetPr codeName="Hoja1"/>
  <dimension ref="A1:M22"/>
  <sheetViews>
    <sheetView workbookViewId="0">
      <selection activeCell="E14" sqref="E14"/>
    </sheetView>
  </sheetViews>
  <sheetFormatPr baseColWidth="10" defaultRowHeight="15" x14ac:dyDescent="0.25"/>
  <sheetData>
    <row r="1" spans="1:13" x14ac:dyDescent="0.25">
      <c r="A1" s="1"/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s="2"/>
      <c r="J1" s="4">
        <v>123654</v>
      </c>
    </row>
    <row r="2" spans="1:13" x14ac:dyDescent="0.25"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J2" s="3">
        <v>3652</v>
      </c>
      <c r="L2" s="1"/>
    </row>
    <row r="3" spans="1:13" x14ac:dyDescent="0.25"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J3" s="3">
        <v>12589</v>
      </c>
    </row>
    <row r="4" spans="1:13" x14ac:dyDescent="0.25"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s="1"/>
      <c r="J4" s="5"/>
      <c r="K4" s="1"/>
      <c r="L4" s="1"/>
      <c r="M4" s="1"/>
    </row>
    <row r="5" spans="1:13" x14ac:dyDescent="0.25"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s="1"/>
      <c r="J5" s="1"/>
      <c r="K5" s="1"/>
      <c r="L5" s="1"/>
      <c r="M5" s="1"/>
    </row>
    <row r="6" spans="1:13" x14ac:dyDescent="0.25"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s="1"/>
      <c r="J6" s="1"/>
      <c r="K6" s="1"/>
      <c r="L6" s="1"/>
      <c r="M6" s="1"/>
    </row>
    <row r="7" spans="1:13" x14ac:dyDescent="0.25"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s="1"/>
      <c r="J7" s="1"/>
      <c r="K7" s="1"/>
      <c r="L7" s="1"/>
      <c r="M7" s="1"/>
    </row>
    <row r="8" spans="1:13" x14ac:dyDescent="0.25"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s="1"/>
      <c r="J8" s="1"/>
      <c r="K8" s="1"/>
      <c r="L8" s="1"/>
      <c r="M8" s="1"/>
    </row>
    <row r="9" spans="1:13" x14ac:dyDescent="0.25"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s="1"/>
      <c r="J9" s="1"/>
      <c r="K9" s="1"/>
      <c r="L9" s="1"/>
      <c r="M9" s="1"/>
    </row>
    <row r="10" spans="1:13" x14ac:dyDescent="0.25"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</row>
    <row r="11" spans="1:13" x14ac:dyDescent="0.25"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</row>
    <row r="12" spans="1:13" x14ac:dyDescent="0.25"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K12" s="1"/>
    </row>
    <row r="13" spans="1:13" x14ac:dyDescent="0.25"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</row>
    <row r="14" spans="1:13" x14ac:dyDescent="0.25"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</row>
    <row r="15" spans="1:13" x14ac:dyDescent="0.25"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</row>
    <row r="16" spans="1:13" x14ac:dyDescent="0.25"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</row>
    <row r="17" spans="2:11" x14ac:dyDescent="0.25">
      <c r="I17" s="1"/>
    </row>
    <row r="20" spans="2:11" x14ac:dyDescent="0.25">
      <c r="B20" s="1"/>
    </row>
    <row r="22" spans="2:11" x14ac:dyDescent="0.25">
      <c r="K22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negCurvaSubra">
                <anchor moveWithCells="1" sizeWithCells="1">
                  <from>
                    <xdr:col>9</xdr:col>
                    <xdr:colOff>9525</xdr:colOff>
                    <xdr:row>4</xdr:row>
                    <xdr:rowOff>38100</xdr:rowOff>
                  </from>
                  <to>
                    <xdr:col>11</xdr:col>
                    <xdr:colOff>752475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3C84-FD16-41F6-8E42-CD1CFC34EEB1}">
  <sheetPr codeName="Hoja2"/>
  <dimension ref="B1:J10"/>
  <sheetViews>
    <sheetView workbookViewId="0">
      <selection activeCell="J15" sqref="J15"/>
    </sheetView>
  </sheetViews>
  <sheetFormatPr baseColWidth="10" defaultRowHeight="15" x14ac:dyDescent="0.25"/>
  <sheetData>
    <row r="1" spans="2:10" x14ac:dyDescent="0.25">
      <c r="B1" t="s">
        <v>1</v>
      </c>
    </row>
    <row r="5" spans="2:10" x14ac:dyDescent="0.25">
      <c r="B5" t="s">
        <v>2</v>
      </c>
    </row>
    <row r="10" spans="2:10" x14ac:dyDescent="0.25">
      <c r="F10" t="s">
        <v>2</v>
      </c>
      <c r="G10" t="s">
        <v>2</v>
      </c>
      <c r="H10" t="s">
        <v>2</v>
      </c>
      <c r="I10" t="s">
        <v>2</v>
      </c>
      <c r="J10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D89C-96E4-449F-9AF5-693B8255323B}">
  <sheetPr codeName="Hoja3"/>
  <dimension ref="A1:H16"/>
  <sheetViews>
    <sheetView workbookViewId="0"/>
  </sheetViews>
  <sheetFormatPr baseColWidth="10" defaultRowHeight="15" x14ac:dyDescent="0.25"/>
  <cols>
    <col min="8" max="8" width="12.42578125" customWidth="1"/>
  </cols>
  <sheetData>
    <row r="1" spans="1:8" x14ac:dyDescent="0.25">
      <c r="A1" t="s">
        <v>3</v>
      </c>
      <c r="B1" t="s">
        <v>9</v>
      </c>
      <c r="E1" t="s">
        <v>9</v>
      </c>
    </row>
    <row r="2" spans="1:8" x14ac:dyDescent="0.25">
      <c r="E2" t="s">
        <v>10</v>
      </c>
    </row>
    <row r="3" spans="1:8" x14ac:dyDescent="0.25">
      <c r="A3" t="s">
        <v>4</v>
      </c>
    </row>
    <row r="5" spans="1:8" x14ac:dyDescent="0.25">
      <c r="A5" s="6" t="s">
        <v>5</v>
      </c>
      <c r="B5" s="6" t="s">
        <v>6</v>
      </c>
      <c r="C5" s="6" t="s">
        <v>7</v>
      </c>
      <c r="D5" s="6" t="s">
        <v>8</v>
      </c>
    </row>
    <row r="6" spans="1:8" x14ac:dyDescent="0.25">
      <c r="A6" s="6"/>
      <c r="B6" s="6"/>
      <c r="C6" s="6"/>
      <c r="D6" s="6"/>
    </row>
    <row r="7" spans="1:8" x14ac:dyDescent="0.25">
      <c r="A7" s="6"/>
      <c r="B7" s="6"/>
      <c r="C7" s="6"/>
      <c r="D7" s="6"/>
    </row>
    <row r="8" spans="1:8" x14ac:dyDescent="0.25">
      <c r="A8" s="6"/>
      <c r="B8" s="6"/>
      <c r="C8" s="6"/>
      <c r="D8" s="6"/>
    </row>
    <row r="9" spans="1:8" x14ac:dyDescent="0.25">
      <c r="A9" s="6"/>
      <c r="B9" s="6"/>
      <c r="C9" s="6"/>
      <c r="D9" s="6"/>
    </row>
    <row r="10" spans="1:8" x14ac:dyDescent="0.25">
      <c r="A10" s="6"/>
      <c r="B10" s="6"/>
      <c r="C10" s="6"/>
      <c r="D10" s="6"/>
    </row>
    <row r="11" spans="1:8" x14ac:dyDescent="0.25">
      <c r="A11" s="6"/>
      <c r="B11" s="6"/>
      <c r="C11" s="6"/>
      <c r="D11" s="6"/>
    </row>
    <row r="12" spans="1:8" x14ac:dyDescent="0.25">
      <c r="A12" s="6"/>
      <c r="B12" s="6"/>
      <c r="C12" s="6"/>
      <c r="D12" s="6"/>
    </row>
    <row r="15" spans="1:8" x14ac:dyDescent="0.25">
      <c r="H15" s="1"/>
    </row>
    <row r="16" spans="1:8" x14ac:dyDescent="0.25">
      <c r="H16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mpresa1">
                <anchor moveWithCells="1" sizeWithCells="1">
                  <from>
                    <xdr:col>4</xdr:col>
                    <xdr:colOff>742950</xdr:colOff>
                    <xdr:row>4</xdr:row>
                    <xdr:rowOff>0</xdr:rowOff>
                  </from>
                  <to>
                    <xdr:col>7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mpresa2">
                <anchor moveWithCells="1" sizeWithCells="1">
                  <from>
                    <xdr:col>5</xdr:col>
                    <xdr:colOff>9525</xdr:colOff>
                    <xdr:row>8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DE0D-6E53-452C-B4C9-3639E008D4EE}">
  <sheetPr codeName="Hoja4"/>
  <dimension ref="A1:C7"/>
  <sheetViews>
    <sheetView workbookViewId="0">
      <selection activeCell="G12" sqref="G12"/>
    </sheetView>
  </sheetViews>
  <sheetFormatPr baseColWidth="10" defaultRowHeight="15" x14ac:dyDescent="0.25"/>
  <sheetData>
    <row r="1" spans="1:3" x14ac:dyDescent="0.25">
      <c r="A1" t="s">
        <v>3</v>
      </c>
      <c r="B1" t="s">
        <v>11</v>
      </c>
      <c r="C1" t="s">
        <v>12</v>
      </c>
    </row>
    <row r="2" spans="1:3" x14ac:dyDescent="0.25">
      <c r="A2" t="s">
        <v>13</v>
      </c>
      <c r="B2" t="s">
        <v>17</v>
      </c>
      <c r="C2">
        <v>28001</v>
      </c>
    </row>
    <row r="3" spans="1:3" x14ac:dyDescent="0.25">
      <c r="A3" t="s">
        <v>14</v>
      </c>
      <c r="B3" t="s">
        <v>18</v>
      </c>
      <c r="C3">
        <v>28002</v>
      </c>
    </row>
    <row r="4" spans="1:3" x14ac:dyDescent="0.25">
      <c r="A4" t="s">
        <v>15</v>
      </c>
      <c r="B4" t="s">
        <v>19</v>
      </c>
      <c r="C4">
        <v>28003</v>
      </c>
    </row>
    <row r="5" spans="1:3" x14ac:dyDescent="0.25">
      <c r="A5" t="s">
        <v>16</v>
      </c>
      <c r="B5" t="s">
        <v>20</v>
      </c>
      <c r="C5">
        <v>28004</v>
      </c>
    </row>
    <row r="6" spans="1:3" x14ac:dyDescent="0.25">
      <c r="A6" t="s">
        <v>21</v>
      </c>
      <c r="B6" t="s">
        <v>22</v>
      </c>
      <c r="C6">
        <v>28005</v>
      </c>
    </row>
    <row r="7" spans="1:3" x14ac:dyDescent="0.25">
      <c r="A7" t="s">
        <v>23</v>
      </c>
      <c r="B7" t="s">
        <v>24</v>
      </c>
      <c r="C7">
        <v>28006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9F681-0DDD-4E77-AEB8-3FCCFBB1FEDF}">
  <sheetPr codeName="Hoja5"/>
  <dimension ref="A1:B12"/>
  <sheetViews>
    <sheetView workbookViewId="0">
      <selection activeCell="A9" sqref="A9:B12"/>
    </sheetView>
  </sheetViews>
  <sheetFormatPr baseColWidth="10" defaultRowHeight="15" x14ac:dyDescent="0.25"/>
  <sheetData>
    <row r="1" spans="1:2" x14ac:dyDescent="0.25">
      <c r="B1">
        <v>2022</v>
      </c>
    </row>
    <row r="2" spans="1:2" x14ac:dyDescent="0.25">
      <c r="A2" t="s">
        <v>25</v>
      </c>
      <c r="B2">
        <v>850</v>
      </c>
    </row>
    <row r="3" spans="1:2" x14ac:dyDescent="0.25">
      <c r="A3" t="s">
        <v>26</v>
      </c>
      <c r="B3">
        <v>650</v>
      </c>
    </row>
    <row r="4" spans="1:2" x14ac:dyDescent="0.25">
      <c r="A4" t="s">
        <v>27</v>
      </c>
      <c r="B4">
        <v>750</v>
      </c>
    </row>
    <row r="5" spans="1:2" x14ac:dyDescent="0.25">
      <c r="A5" t="s">
        <v>28</v>
      </c>
      <c r="B5">
        <v>480</v>
      </c>
    </row>
    <row r="9" spans="1:2" x14ac:dyDescent="0.25">
      <c r="B9">
        <v>2021</v>
      </c>
    </row>
    <row r="10" spans="1:2" x14ac:dyDescent="0.25">
      <c r="A10" t="s">
        <v>29</v>
      </c>
      <c r="B10">
        <v>28</v>
      </c>
    </row>
    <row r="11" spans="1:2" x14ac:dyDescent="0.25">
      <c r="A11" t="s">
        <v>30</v>
      </c>
      <c r="B11">
        <v>15</v>
      </c>
    </row>
    <row r="12" spans="1:2" x14ac:dyDescent="0.25">
      <c r="A12" t="s">
        <v>31</v>
      </c>
      <c r="B12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301C6-DC50-40DA-81FB-2E70FBA56B5A}">
  <sheetPr codeName="Hoja6"/>
  <dimension ref="A1:C11"/>
  <sheetViews>
    <sheetView zoomScale="145" zoomScaleNormal="145" workbookViewId="0">
      <selection activeCell="E4" sqref="E4"/>
    </sheetView>
  </sheetViews>
  <sheetFormatPr baseColWidth="10" defaultRowHeight="15" x14ac:dyDescent="0.25"/>
  <cols>
    <col min="3" max="3" width="13" customWidth="1"/>
  </cols>
  <sheetData>
    <row r="1" spans="1:3" x14ac:dyDescent="0.25">
      <c r="B1" t="s">
        <v>32</v>
      </c>
      <c r="C1" t="s">
        <v>33</v>
      </c>
    </row>
    <row r="2" spans="1:3" x14ac:dyDescent="0.25">
      <c r="A2" s="7">
        <v>1</v>
      </c>
      <c r="B2" t="e" cm="1">
        <f t="array" aca="1" ref="B2" ca="1">circulo(A2)</f>
        <v>#NAME?</v>
      </c>
      <c r="C2" t="e" cm="1">
        <f t="array" aca="1" ref="C2" ca="1">circunferencia(A2)</f>
        <v>#NAME?</v>
      </c>
    </row>
    <row r="3" spans="1:3" x14ac:dyDescent="0.25">
      <c r="A3" s="7">
        <v>2</v>
      </c>
      <c r="B3" t="e" cm="1">
        <f t="array" aca="1" ref="B3" ca="1">circulo(A3)</f>
        <v>#NAME?</v>
      </c>
      <c r="C3" t="e" cm="1">
        <f t="array" aca="1" ref="C3" ca="1">circunferencia(A3)</f>
        <v>#NAME?</v>
      </c>
    </row>
    <row r="4" spans="1:3" x14ac:dyDescent="0.25">
      <c r="A4" s="7">
        <v>3</v>
      </c>
      <c r="B4" t="e" cm="1">
        <f t="array" aca="1" ref="B4" ca="1">circulo(A4)</f>
        <v>#NAME?</v>
      </c>
      <c r="C4" t="e" cm="1">
        <f t="array" aca="1" ref="C4" ca="1">circunferencia(A4)</f>
        <v>#NAME?</v>
      </c>
    </row>
    <row r="5" spans="1:3" x14ac:dyDescent="0.25">
      <c r="A5" s="7">
        <v>4</v>
      </c>
      <c r="B5" t="e" cm="1">
        <f t="array" aca="1" ref="B5" ca="1">circulo(A5)</f>
        <v>#NAME?</v>
      </c>
      <c r="C5" t="e" cm="1">
        <f t="array" aca="1" ref="C5" ca="1">circunferencia(A5)</f>
        <v>#NAME?</v>
      </c>
    </row>
    <row r="6" spans="1:3" x14ac:dyDescent="0.25">
      <c r="A6" s="7">
        <v>5</v>
      </c>
      <c r="B6" t="e" cm="1">
        <f t="array" aca="1" ref="B6" ca="1">circulo(A6)</f>
        <v>#NAME?</v>
      </c>
      <c r="C6" t="e" cm="1">
        <f t="array" aca="1" ref="C6" ca="1">circunferencia(A6)</f>
        <v>#NAME?</v>
      </c>
    </row>
    <row r="7" spans="1:3" x14ac:dyDescent="0.25">
      <c r="A7" s="7">
        <v>6</v>
      </c>
      <c r="B7" t="e" cm="1">
        <f t="array" aca="1" ref="B7" ca="1">circulo(A7)</f>
        <v>#NAME?</v>
      </c>
      <c r="C7" t="e" cm="1">
        <f t="array" aca="1" ref="C7" ca="1">circunferencia(A7)</f>
        <v>#NAME?</v>
      </c>
    </row>
    <row r="8" spans="1:3" x14ac:dyDescent="0.25">
      <c r="A8" s="7">
        <v>7</v>
      </c>
      <c r="B8" t="e" cm="1">
        <f t="array" aca="1" ref="B8" ca="1">circulo(A8)</f>
        <v>#NAME?</v>
      </c>
      <c r="C8" t="e" cm="1">
        <f t="array" aca="1" ref="C8" ca="1">circunferencia(A8)</f>
        <v>#NAME?</v>
      </c>
    </row>
    <row r="9" spans="1:3" x14ac:dyDescent="0.25">
      <c r="A9" s="7">
        <v>8</v>
      </c>
      <c r="B9" t="e" cm="1">
        <f t="array" aca="1" ref="B9" ca="1">circulo(A9)</f>
        <v>#NAME?</v>
      </c>
      <c r="C9" t="e" cm="1">
        <f t="array" aca="1" ref="C9" ca="1">circunferencia(A9)</f>
        <v>#NAME?</v>
      </c>
    </row>
    <row r="10" spans="1:3" x14ac:dyDescent="0.25">
      <c r="A10" s="7">
        <v>9</v>
      </c>
      <c r="B10" t="e" cm="1">
        <f t="array" aca="1" ref="B10" ca="1">circulo(A10)</f>
        <v>#NAME?</v>
      </c>
      <c r="C10" t="e" cm="1">
        <f t="array" aca="1" ref="C10" ca="1">circunferencia(A10)</f>
        <v>#NAME?</v>
      </c>
    </row>
    <row r="11" spans="1:3" x14ac:dyDescent="0.25">
      <c r="A11" s="7">
        <v>10</v>
      </c>
      <c r="B11" t="e" cm="1">
        <f t="array" aca="1" ref="B11" ca="1">circulo(A11)</f>
        <v>#NAME?</v>
      </c>
      <c r="C11" t="e" cm="1">
        <f t="array" aca="1" ref="C11" ca="1">circunferencia(A11)</f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52B4F-E451-4DE9-ACB5-17C89274714D}">
  <sheetPr codeName="Hoja7"/>
  <dimension ref="A1:F5"/>
  <sheetViews>
    <sheetView workbookViewId="0">
      <selection activeCell="F1" sqref="F1"/>
    </sheetView>
  </sheetViews>
  <sheetFormatPr baseColWidth="10" defaultRowHeight="15" x14ac:dyDescent="0.25"/>
  <cols>
    <col min="6" max="6" width="15.5703125" customWidth="1"/>
  </cols>
  <sheetData>
    <row r="1" spans="1:6" x14ac:dyDescent="0.25">
      <c r="A1">
        <v>1</v>
      </c>
      <c r="D1">
        <v>92</v>
      </c>
      <c r="F1" s="8">
        <v>45060</v>
      </c>
    </row>
    <row r="3" spans="1:6" x14ac:dyDescent="0.25">
      <c r="A3">
        <v>3</v>
      </c>
    </row>
    <row r="4" spans="1:6" x14ac:dyDescent="0.25">
      <c r="A4">
        <v>4</v>
      </c>
    </row>
    <row r="5" spans="1:6" x14ac:dyDescent="0.25">
      <c r="A5">
        <v>5</v>
      </c>
      <c r="C5">
        <v>1000</v>
      </c>
      <c r="F5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8C83-2BB1-4796-A36B-AD0D8F0B1AEC}">
  <sheetPr codeName="Hoja8"/>
  <dimension ref="A1:E34"/>
  <sheetViews>
    <sheetView topLeftCell="A23" workbookViewId="0">
      <selection activeCell="C35" sqref="C35"/>
    </sheetView>
  </sheetViews>
  <sheetFormatPr baseColWidth="10" defaultRowHeight="15" x14ac:dyDescent="0.25"/>
  <cols>
    <col min="1" max="1" width="13" bestFit="1" customWidth="1"/>
    <col min="2" max="2" width="12" bestFit="1" customWidth="1"/>
    <col min="3" max="3" width="13.7109375" customWidth="1"/>
    <col min="4" max="4" width="13.140625" customWidth="1"/>
  </cols>
  <sheetData>
    <row r="1" spans="1:4" x14ac:dyDescent="0.25">
      <c r="A1" t="s">
        <v>34</v>
      </c>
      <c r="B1" t="s">
        <v>35</v>
      </c>
    </row>
    <row r="2" spans="1:4" x14ac:dyDescent="0.25">
      <c r="A2">
        <v>5</v>
      </c>
      <c r="B2" t="e" cm="1">
        <f t="array" aca="1" ref="B2" ca="1">calificacion1(A2)</f>
        <v>#NAME?</v>
      </c>
      <c r="C2" t="e" cm="1">
        <f t="array" aca="1" ref="C2" ca="1">calificacion2(A2)</f>
        <v>#NAME?</v>
      </c>
      <c r="D2" t="e" cm="1">
        <f t="array" aca="1" ref="D2" ca="1">calificacion3(A2)</f>
        <v>#NAME?</v>
      </c>
    </row>
    <row r="3" spans="1:4" x14ac:dyDescent="0.25">
      <c r="A3">
        <v>8</v>
      </c>
      <c r="B3" t="e" cm="1">
        <f t="array" aca="1" ref="B3" ca="1">calificacion1(A3)</f>
        <v>#NAME?</v>
      </c>
      <c r="C3" t="e" cm="1">
        <f t="array" aca="1" ref="C3" ca="1">calificacion2(A3)</f>
        <v>#NAME?</v>
      </c>
      <c r="D3" t="e" cm="1">
        <f t="array" aca="1" ref="D3" ca="1">calificacion3(A3)</f>
        <v>#NAME?</v>
      </c>
    </row>
    <row r="4" spans="1:4" x14ac:dyDescent="0.25">
      <c r="A4">
        <v>6</v>
      </c>
      <c r="B4" t="e" cm="1">
        <f t="array" aca="1" ref="B4" ca="1">calificacion1(A4)</f>
        <v>#NAME?</v>
      </c>
      <c r="C4" t="e" cm="1">
        <f t="array" aca="1" ref="C4" ca="1">calificacion2(A4)</f>
        <v>#NAME?</v>
      </c>
      <c r="D4" t="e" cm="1">
        <f t="array" aca="1" ref="D4" ca="1">calificacion3(A4)</f>
        <v>#NAME?</v>
      </c>
    </row>
    <row r="5" spans="1:4" x14ac:dyDescent="0.25">
      <c r="A5">
        <v>9</v>
      </c>
      <c r="B5" t="e" cm="1">
        <f t="array" aca="1" ref="B5" ca="1">calificacion1(A5)</f>
        <v>#NAME?</v>
      </c>
      <c r="C5" t="e" cm="1">
        <f t="array" aca="1" ref="C5" ca="1">calificacion2(A5)</f>
        <v>#NAME?</v>
      </c>
      <c r="D5" t="e" cm="1">
        <f t="array" aca="1" ref="D5" ca="1">calificacion3(A5)</f>
        <v>#NAME?</v>
      </c>
    </row>
    <row r="6" spans="1:4" x14ac:dyDescent="0.25">
      <c r="A6">
        <v>3</v>
      </c>
      <c r="B6" t="e" cm="1">
        <f t="array" aca="1" ref="B6" ca="1">calificacion1(A6)</f>
        <v>#NAME?</v>
      </c>
      <c r="C6" t="e" cm="1">
        <f t="array" aca="1" ref="C6" ca="1">calificacion2(A6)</f>
        <v>#NAME?</v>
      </c>
      <c r="D6" t="e" cm="1">
        <f t="array" aca="1" ref="D6" ca="1">calificacion3(A6)</f>
        <v>#NAME?</v>
      </c>
    </row>
    <row r="7" spans="1:4" x14ac:dyDescent="0.25">
      <c r="A7">
        <v>4</v>
      </c>
      <c r="B7" t="e" cm="1">
        <f t="array" aca="1" ref="B7" ca="1">calificacion1(A7)</f>
        <v>#NAME?</v>
      </c>
      <c r="C7" t="e" cm="1">
        <f t="array" aca="1" ref="C7" ca="1">calificacion2(A7)</f>
        <v>#NAME?</v>
      </c>
      <c r="D7" t="e" cm="1">
        <f t="array" aca="1" ref="D7" ca="1">calificacion3(A7)</f>
        <v>#NAME?</v>
      </c>
    </row>
    <row r="11" spans="1:4" x14ac:dyDescent="0.25">
      <c r="A11" t="s">
        <v>36</v>
      </c>
      <c r="B11" t="s">
        <v>38</v>
      </c>
    </row>
    <row r="12" spans="1:4" x14ac:dyDescent="0.25">
      <c r="A12" s="9">
        <v>125000</v>
      </c>
      <c r="B12" s="10" t="e" cm="1">
        <f t="array" aca="1" ref="B12" ca="1">comisiones(A12)</f>
        <v>#NAME?</v>
      </c>
      <c r="C12" t="e" cm="1">
        <f t="array" aca="1" ref="C12" ca="1">comisiones2(A12)</f>
        <v>#NAME?</v>
      </c>
    </row>
    <row r="13" spans="1:4" x14ac:dyDescent="0.25">
      <c r="A13" s="9">
        <v>85000</v>
      </c>
      <c r="B13" s="10" t="e" cm="1">
        <f t="array" aca="1" ref="B13" ca="1">comisiones(A13)</f>
        <v>#NAME?</v>
      </c>
      <c r="C13" t="e" cm="1">
        <f t="array" aca="1" ref="C13" ca="1">comisiones2(A13)</f>
        <v>#NAME?</v>
      </c>
    </row>
    <row r="14" spans="1:4" x14ac:dyDescent="0.25">
      <c r="A14" s="9">
        <v>65000</v>
      </c>
      <c r="B14" s="10" t="e" cm="1">
        <f t="array" aca="1" ref="B14" ca="1">comisiones(A14)</f>
        <v>#NAME?</v>
      </c>
      <c r="C14" t="e" cm="1">
        <f t="array" aca="1" ref="C14" ca="1">comisiones2(A14)</f>
        <v>#NAME?</v>
      </c>
    </row>
    <row r="15" spans="1:4" x14ac:dyDescent="0.25">
      <c r="A15" s="9">
        <v>105000</v>
      </c>
      <c r="B15" s="10" t="e" cm="1">
        <f t="array" aca="1" ref="B15" ca="1">comisiones(A15)</f>
        <v>#NAME?</v>
      </c>
      <c r="C15" t="e" cm="1">
        <f t="array" aca="1" ref="C15" ca="1">comisiones2(A15)</f>
        <v>#NAME?</v>
      </c>
    </row>
    <row r="17" spans="1:5" x14ac:dyDescent="0.25">
      <c r="A17" t="s">
        <v>37</v>
      </c>
    </row>
    <row r="24" spans="1:5" x14ac:dyDescent="0.25">
      <c r="A24" t="s">
        <v>34</v>
      </c>
      <c r="B24" t="s">
        <v>39</v>
      </c>
    </row>
    <row r="25" spans="1:5" x14ac:dyDescent="0.25">
      <c r="A25">
        <v>5</v>
      </c>
      <c r="B25">
        <v>3</v>
      </c>
      <c r="C25" t="e" cm="1">
        <f t="array" aca="1" ref="C25" ca="1">calificacion4(A25,B25)</f>
        <v>#NAME?</v>
      </c>
      <c r="D25" t="e" cm="1">
        <f t="array" aca="1" ref="D25" ca="1">calificacion5(A25,B25)</f>
        <v>#NAME?</v>
      </c>
      <c r="E25" t="e" cm="1">
        <f t="array" aca="1" ref="E25" ca="1">calificacion4(A25,B25)</f>
        <v>#NAME?</v>
      </c>
    </row>
    <row r="26" spans="1:5" x14ac:dyDescent="0.25">
      <c r="A26">
        <v>8</v>
      </c>
      <c r="B26">
        <v>2</v>
      </c>
      <c r="C26" t="e" cm="1">
        <f t="array" aca="1" ref="C26" ca="1">calificacion4(A26,B26)</f>
        <v>#NAME?</v>
      </c>
      <c r="D26" t="e" cm="1">
        <f t="array" aca="1" ref="D26" ca="1">calificacion5(A26,B26)</f>
        <v>#NAME?</v>
      </c>
      <c r="E26" t="e" cm="1">
        <f t="array" aca="1" ref="E26" ca="1">calificacion4(A26,B26)</f>
        <v>#NAME?</v>
      </c>
    </row>
    <row r="27" spans="1:5" x14ac:dyDescent="0.25">
      <c r="A27">
        <v>6</v>
      </c>
      <c r="B27">
        <v>5</v>
      </c>
      <c r="C27" t="e" cm="1">
        <f t="array" aca="1" ref="C27" ca="1">calificacion4(A27,B27)</f>
        <v>#NAME?</v>
      </c>
      <c r="D27" t="e" cm="1">
        <f t="array" aca="1" ref="D27" ca="1">calificacion5(A27,B27)</f>
        <v>#NAME?</v>
      </c>
      <c r="E27" t="e" cm="1">
        <f t="array" aca="1" ref="E27" ca="1">calificacion4(A27,B27)</f>
        <v>#NAME?</v>
      </c>
    </row>
    <row r="28" spans="1:5" x14ac:dyDescent="0.25">
      <c r="A28">
        <v>9</v>
      </c>
      <c r="B28">
        <v>1</v>
      </c>
      <c r="C28" t="e" cm="1">
        <f t="array" aca="1" ref="C28" ca="1">calificacion4(A28,B28)</f>
        <v>#NAME?</v>
      </c>
      <c r="D28" t="e" cm="1">
        <f t="array" aca="1" ref="D28" ca="1">calificacion5(A28,B28)</f>
        <v>#NAME?</v>
      </c>
      <c r="E28" t="e" cm="1">
        <f t="array" aca="1" ref="E28" ca="1">calificacion4(A28,B28)</f>
        <v>#NAME?</v>
      </c>
    </row>
    <row r="29" spans="1:5" x14ac:dyDescent="0.25">
      <c r="A29">
        <v>3</v>
      </c>
      <c r="B29">
        <v>4</v>
      </c>
      <c r="C29" t="e" cm="1">
        <f t="array" aca="1" ref="C29" ca="1">calificacion4(A29,B29)</f>
        <v>#NAME?</v>
      </c>
      <c r="D29" t="e" cm="1">
        <f t="array" aca="1" ref="D29" ca="1">calificacion5(A29,B29)</f>
        <v>#NAME?</v>
      </c>
      <c r="E29" t="e" cm="1">
        <f t="array" aca="1" ref="E29" ca="1">calificacion4(A29,B29)</f>
        <v>#NAME?</v>
      </c>
    </row>
    <row r="30" spans="1:5" x14ac:dyDescent="0.25">
      <c r="A30">
        <v>4</v>
      </c>
      <c r="B30">
        <v>0</v>
      </c>
      <c r="C30" t="e" cm="1">
        <f t="array" aca="1" ref="C30" ca="1">calificacion4(A30,B30)</f>
        <v>#NAME?</v>
      </c>
      <c r="D30" t="e" cm="1">
        <f t="array" aca="1" ref="D30" ca="1">calificacion5(A30,B30)</f>
        <v>#NAME?</v>
      </c>
      <c r="E30" t="e" cm="1">
        <f t="array" aca="1" ref="E30" ca="1">calificacion4(A30,B30)</f>
        <v>#NAME?</v>
      </c>
    </row>
    <row r="34" spans="3:5" x14ac:dyDescent="0.25">
      <c r="C34" t="e" cm="1">
        <f t="array" aca="1" ref="C34" ca="1">impuestos(100)</f>
        <v>#NAME?</v>
      </c>
      <c r="D34" s="18" t="s">
        <v>40</v>
      </c>
      <c r="E34" s="18"/>
    </row>
  </sheetData>
  <mergeCells count="1">
    <mergeCell ref="D34:E3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EBEF0-61D3-4451-B9F7-62A11E59D91D}">
  <sheetPr codeName="Hoja10"/>
  <dimension ref="A1:A7"/>
  <sheetViews>
    <sheetView tabSelected="1" workbookViewId="0">
      <selection activeCell="B2" sqref="B2"/>
    </sheetView>
  </sheetViews>
  <sheetFormatPr baseColWidth="10" defaultRowHeight="15" x14ac:dyDescent="0.25"/>
  <sheetData>
    <row r="1" spans="1:1" x14ac:dyDescent="0.25">
      <c r="A1" s="13">
        <v>5</v>
      </c>
    </row>
    <row r="2" spans="1:1" x14ac:dyDescent="0.25">
      <c r="A2" s="14">
        <v>6</v>
      </c>
    </row>
    <row r="3" spans="1:1" x14ac:dyDescent="0.25">
      <c r="A3" s="14">
        <v>8</v>
      </c>
    </row>
    <row r="4" spans="1:1" x14ac:dyDescent="0.25">
      <c r="A4" s="12">
        <v>4</v>
      </c>
    </row>
    <row r="5" spans="1:1" x14ac:dyDescent="0.25">
      <c r="A5" s="11">
        <v>3</v>
      </c>
    </row>
    <row r="6" spans="1:1" x14ac:dyDescent="0.25">
      <c r="A6" s="13">
        <v>9</v>
      </c>
    </row>
    <row r="7" spans="1:1" x14ac:dyDescent="0.25">
      <c r="A7" s="12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0F18-A2E3-4B81-943A-32E3EB105AD3}">
  <sheetPr codeName="Hoja11"/>
  <dimension ref="A1:E258"/>
  <sheetViews>
    <sheetView workbookViewId="0">
      <selection activeCell="E34" sqref="E34"/>
    </sheetView>
  </sheetViews>
  <sheetFormatPr baseColWidth="10" defaultRowHeight="15" x14ac:dyDescent="0.25"/>
  <sheetData>
    <row r="1" spans="1:5" x14ac:dyDescent="0.25">
      <c r="A1" t="s">
        <v>6</v>
      </c>
      <c r="B1" t="s">
        <v>5</v>
      </c>
      <c r="C1" t="s">
        <v>41</v>
      </c>
      <c r="D1" t="s">
        <v>42</v>
      </c>
      <c r="E1" t="s">
        <v>8</v>
      </c>
    </row>
    <row r="2" spans="1:5" x14ac:dyDescent="0.25">
      <c r="A2" s="9">
        <v>125</v>
      </c>
      <c r="B2">
        <v>12</v>
      </c>
      <c r="C2" s="15">
        <f t="shared" ref="C2:C65" si="0">A2*B2</f>
        <v>1500</v>
      </c>
      <c r="D2" s="15">
        <f t="shared" ref="D2:D65" si="1">C2* 0.21</f>
        <v>315</v>
      </c>
      <c r="E2" s="15">
        <f t="shared" ref="E2:E65" si="2">C2+D2</f>
        <v>1815</v>
      </c>
    </row>
    <row r="3" spans="1:5" x14ac:dyDescent="0.25">
      <c r="A3" s="9">
        <v>28</v>
      </c>
      <c r="B3">
        <v>25</v>
      </c>
      <c r="C3" s="15">
        <f t="shared" si="0"/>
        <v>700</v>
      </c>
      <c r="D3" s="15">
        <f t="shared" si="1"/>
        <v>147</v>
      </c>
      <c r="E3" s="15">
        <f t="shared" si="2"/>
        <v>847</v>
      </c>
    </row>
    <row r="4" spans="1:5" x14ac:dyDescent="0.25">
      <c r="A4" s="9">
        <v>45</v>
      </c>
      <c r="B4">
        <v>18</v>
      </c>
      <c r="C4" s="15">
        <f t="shared" si="0"/>
        <v>810</v>
      </c>
      <c r="D4" s="15">
        <f t="shared" si="1"/>
        <v>170.1</v>
      </c>
      <c r="E4" s="15">
        <f t="shared" si="2"/>
        <v>980.1</v>
      </c>
    </row>
    <row r="5" spans="1:5" x14ac:dyDescent="0.25">
      <c r="A5" s="9">
        <v>67</v>
      </c>
      <c r="B5">
        <v>21</v>
      </c>
      <c r="C5" s="15">
        <f t="shared" si="0"/>
        <v>1407</v>
      </c>
      <c r="D5" s="15">
        <f t="shared" si="1"/>
        <v>295.46999999999997</v>
      </c>
      <c r="E5" s="15">
        <f t="shared" si="2"/>
        <v>1702.47</v>
      </c>
    </row>
    <row r="6" spans="1:5" x14ac:dyDescent="0.25">
      <c r="A6" s="9">
        <v>1</v>
      </c>
      <c r="B6">
        <v>5</v>
      </c>
      <c r="C6" s="16">
        <f t="shared" si="0"/>
        <v>5</v>
      </c>
      <c r="D6" s="16">
        <f t="shared" si="1"/>
        <v>1.05</v>
      </c>
      <c r="E6" s="16">
        <f t="shared" si="2"/>
        <v>6.05</v>
      </c>
    </row>
    <row r="7" spans="1:5" x14ac:dyDescent="0.25">
      <c r="A7" s="9">
        <v>2</v>
      </c>
      <c r="B7">
        <v>6</v>
      </c>
      <c r="C7" s="16">
        <f t="shared" si="0"/>
        <v>12</v>
      </c>
      <c r="D7" s="16">
        <f t="shared" si="1"/>
        <v>2.52</v>
      </c>
      <c r="E7" s="16">
        <f t="shared" si="2"/>
        <v>14.52</v>
      </c>
    </row>
    <row r="8" spans="1:5" x14ac:dyDescent="0.25">
      <c r="A8" s="9">
        <v>3</v>
      </c>
      <c r="B8">
        <v>7</v>
      </c>
      <c r="C8" s="16">
        <f t="shared" si="0"/>
        <v>21</v>
      </c>
      <c r="D8" s="16">
        <f t="shared" si="1"/>
        <v>4.41</v>
      </c>
      <c r="E8" s="16">
        <f t="shared" si="2"/>
        <v>25.41</v>
      </c>
    </row>
    <row r="9" spans="1:5" x14ac:dyDescent="0.25">
      <c r="A9" s="9">
        <v>4</v>
      </c>
      <c r="B9">
        <v>8</v>
      </c>
      <c r="C9" s="16">
        <f t="shared" si="0"/>
        <v>32</v>
      </c>
      <c r="D9" s="16">
        <f t="shared" si="1"/>
        <v>6.72</v>
      </c>
      <c r="E9" s="16">
        <f t="shared" si="2"/>
        <v>38.72</v>
      </c>
    </row>
    <row r="10" spans="1:5" x14ac:dyDescent="0.25">
      <c r="A10" s="9">
        <v>5</v>
      </c>
      <c r="B10">
        <v>9</v>
      </c>
      <c r="C10" s="16">
        <f t="shared" si="0"/>
        <v>45</v>
      </c>
      <c r="D10" s="16">
        <f t="shared" si="1"/>
        <v>9.4499999999999993</v>
      </c>
      <c r="E10" s="16">
        <f t="shared" si="2"/>
        <v>54.45</v>
      </c>
    </row>
    <row r="11" spans="1:5" x14ac:dyDescent="0.25">
      <c r="A11" s="9">
        <v>6</v>
      </c>
      <c r="B11">
        <v>10</v>
      </c>
      <c r="C11" s="16">
        <f t="shared" si="0"/>
        <v>60</v>
      </c>
      <c r="D11" s="16">
        <f t="shared" si="1"/>
        <v>12.6</v>
      </c>
      <c r="E11" s="16">
        <f t="shared" si="2"/>
        <v>72.599999999999994</v>
      </c>
    </row>
    <row r="12" spans="1:5" x14ac:dyDescent="0.25">
      <c r="A12" s="9">
        <v>7</v>
      </c>
      <c r="B12">
        <v>11</v>
      </c>
      <c r="C12" s="16">
        <f t="shared" si="0"/>
        <v>77</v>
      </c>
      <c r="D12" s="16">
        <f t="shared" si="1"/>
        <v>16.169999999999998</v>
      </c>
      <c r="E12" s="16">
        <f t="shared" si="2"/>
        <v>93.17</v>
      </c>
    </row>
    <row r="13" spans="1:5" x14ac:dyDescent="0.25">
      <c r="A13" s="9">
        <v>8</v>
      </c>
      <c r="B13">
        <v>12</v>
      </c>
      <c r="C13" s="16">
        <f t="shared" si="0"/>
        <v>96</v>
      </c>
      <c r="D13" s="16">
        <f t="shared" si="1"/>
        <v>20.16</v>
      </c>
      <c r="E13" s="16">
        <f t="shared" si="2"/>
        <v>116.16</v>
      </c>
    </row>
    <row r="14" spans="1:5" x14ac:dyDescent="0.25">
      <c r="A14" s="9">
        <v>9</v>
      </c>
      <c r="B14">
        <v>13</v>
      </c>
      <c r="C14" s="16">
        <f t="shared" si="0"/>
        <v>117</v>
      </c>
      <c r="D14" s="16">
        <f t="shared" si="1"/>
        <v>24.57</v>
      </c>
      <c r="E14" s="16">
        <f t="shared" si="2"/>
        <v>141.57</v>
      </c>
    </row>
    <row r="15" spans="1:5" x14ac:dyDescent="0.25">
      <c r="A15" s="9">
        <v>10</v>
      </c>
      <c r="B15">
        <v>14</v>
      </c>
      <c r="C15" s="16">
        <f t="shared" si="0"/>
        <v>140</v>
      </c>
      <c r="D15" s="16">
        <f t="shared" si="1"/>
        <v>29.4</v>
      </c>
      <c r="E15" s="16">
        <f t="shared" si="2"/>
        <v>169.4</v>
      </c>
    </row>
    <row r="16" spans="1:5" x14ac:dyDescent="0.25">
      <c r="A16" s="9">
        <v>11</v>
      </c>
      <c r="B16">
        <v>15</v>
      </c>
      <c r="C16" s="16">
        <f t="shared" si="0"/>
        <v>165</v>
      </c>
      <c r="D16" s="16">
        <f t="shared" si="1"/>
        <v>34.65</v>
      </c>
      <c r="E16" s="16">
        <f t="shared" si="2"/>
        <v>199.65</v>
      </c>
    </row>
    <row r="17" spans="1:5" x14ac:dyDescent="0.25">
      <c r="A17" s="9">
        <v>12</v>
      </c>
      <c r="B17">
        <v>16</v>
      </c>
      <c r="C17" s="16">
        <f t="shared" si="0"/>
        <v>192</v>
      </c>
      <c r="D17" s="16">
        <f t="shared" si="1"/>
        <v>40.32</v>
      </c>
      <c r="E17" s="16">
        <f t="shared" si="2"/>
        <v>232.32</v>
      </c>
    </row>
    <row r="18" spans="1:5" x14ac:dyDescent="0.25">
      <c r="A18" s="9">
        <v>13</v>
      </c>
      <c r="B18">
        <v>17</v>
      </c>
      <c r="C18" s="16">
        <f t="shared" si="0"/>
        <v>221</v>
      </c>
      <c r="D18" s="16">
        <f t="shared" si="1"/>
        <v>46.41</v>
      </c>
      <c r="E18" s="16">
        <f t="shared" si="2"/>
        <v>267.40999999999997</v>
      </c>
    </row>
    <row r="19" spans="1:5" x14ac:dyDescent="0.25">
      <c r="A19" s="9">
        <v>14</v>
      </c>
      <c r="B19">
        <v>18</v>
      </c>
      <c r="C19" s="16">
        <f t="shared" si="0"/>
        <v>252</v>
      </c>
      <c r="D19" s="16">
        <f t="shared" si="1"/>
        <v>52.919999999999995</v>
      </c>
      <c r="E19" s="16">
        <f t="shared" si="2"/>
        <v>304.92</v>
      </c>
    </row>
    <row r="20" spans="1:5" x14ac:dyDescent="0.25">
      <c r="A20" s="9">
        <v>15</v>
      </c>
      <c r="B20">
        <v>19</v>
      </c>
      <c r="C20" s="16">
        <f t="shared" si="0"/>
        <v>285</v>
      </c>
      <c r="D20" s="16">
        <f t="shared" si="1"/>
        <v>59.849999999999994</v>
      </c>
      <c r="E20" s="16">
        <f t="shared" si="2"/>
        <v>344.85</v>
      </c>
    </row>
    <row r="21" spans="1:5" x14ac:dyDescent="0.25">
      <c r="A21" s="9">
        <v>16</v>
      </c>
      <c r="B21">
        <v>20</v>
      </c>
      <c r="C21" s="16">
        <f t="shared" si="0"/>
        <v>320</v>
      </c>
      <c r="D21" s="16">
        <f t="shared" si="1"/>
        <v>67.2</v>
      </c>
      <c r="E21" s="16">
        <f t="shared" si="2"/>
        <v>387.2</v>
      </c>
    </row>
    <row r="22" spans="1:5" x14ac:dyDescent="0.25">
      <c r="A22" s="9">
        <v>17</v>
      </c>
      <c r="B22">
        <v>21</v>
      </c>
      <c r="C22" s="16">
        <f t="shared" si="0"/>
        <v>357</v>
      </c>
      <c r="D22" s="16">
        <f t="shared" si="1"/>
        <v>74.97</v>
      </c>
      <c r="E22" s="16">
        <f t="shared" si="2"/>
        <v>431.97</v>
      </c>
    </row>
    <row r="23" spans="1:5" x14ac:dyDescent="0.25">
      <c r="A23" s="9">
        <v>18</v>
      </c>
      <c r="B23">
        <v>22</v>
      </c>
      <c r="C23" s="16">
        <f t="shared" si="0"/>
        <v>396</v>
      </c>
      <c r="D23" s="16">
        <f t="shared" si="1"/>
        <v>83.16</v>
      </c>
      <c r="E23" s="16">
        <f t="shared" si="2"/>
        <v>479.15999999999997</v>
      </c>
    </row>
    <row r="24" spans="1:5" x14ac:dyDescent="0.25">
      <c r="A24" s="9">
        <v>19</v>
      </c>
      <c r="B24">
        <v>23</v>
      </c>
      <c r="C24" s="16">
        <f t="shared" si="0"/>
        <v>437</v>
      </c>
      <c r="D24" s="16">
        <f t="shared" si="1"/>
        <v>91.77</v>
      </c>
      <c r="E24" s="16">
        <f t="shared" si="2"/>
        <v>528.77</v>
      </c>
    </row>
    <row r="25" spans="1:5" x14ac:dyDescent="0.25">
      <c r="A25" s="9">
        <v>20</v>
      </c>
      <c r="B25">
        <v>24</v>
      </c>
      <c r="C25" s="16">
        <f t="shared" si="0"/>
        <v>480</v>
      </c>
      <c r="D25" s="16">
        <f t="shared" si="1"/>
        <v>100.8</v>
      </c>
      <c r="E25" s="16">
        <f t="shared" si="2"/>
        <v>580.79999999999995</v>
      </c>
    </row>
    <row r="26" spans="1:5" x14ac:dyDescent="0.25">
      <c r="A26" s="9">
        <v>21</v>
      </c>
      <c r="B26">
        <v>25</v>
      </c>
      <c r="C26" s="16">
        <f t="shared" si="0"/>
        <v>525</v>
      </c>
      <c r="D26" s="16">
        <f t="shared" si="1"/>
        <v>110.25</v>
      </c>
      <c r="E26" s="16">
        <f t="shared" si="2"/>
        <v>635.25</v>
      </c>
    </row>
    <row r="27" spans="1:5" x14ac:dyDescent="0.25">
      <c r="A27" s="9">
        <v>22</v>
      </c>
      <c r="B27">
        <v>26</v>
      </c>
      <c r="C27" s="16">
        <f t="shared" si="0"/>
        <v>572</v>
      </c>
      <c r="D27" s="16">
        <f t="shared" si="1"/>
        <v>120.11999999999999</v>
      </c>
      <c r="E27" s="16">
        <f t="shared" si="2"/>
        <v>692.12</v>
      </c>
    </row>
    <row r="28" spans="1:5" x14ac:dyDescent="0.25">
      <c r="A28" s="9">
        <v>23</v>
      </c>
      <c r="B28">
        <v>27</v>
      </c>
      <c r="C28" s="16">
        <f t="shared" si="0"/>
        <v>621</v>
      </c>
      <c r="D28" s="16">
        <f t="shared" si="1"/>
        <v>130.41</v>
      </c>
      <c r="E28" s="16">
        <f t="shared" si="2"/>
        <v>751.41</v>
      </c>
    </row>
    <row r="29" spans="1:5" x14ac:dyDescent="0.25">
      <c r="A29" s="9">
        <v>24</v>
      </c>
      <c r="B29">
        <v>28</v>
      </c>
      <c r="C29" s="16">
        <f t="shared" si="0"/>
        <v>672</v>
      </c>
      <c r="D29" s="16">
        <f t="shared" si="1"/>
        <v>141.12</v>
      </c>
      <c r="E29" s="16">
        <f t="shared" si="2"/>
        <v>813.12</v>
      </c>
    </row>
    <row r="30" spans="1:5" x14ac:dyDescent="0.25">
      <c r="A30" s="9">
        <v>25</v>
      </c>
      <c r="B30">
        <v>29</v>
      </c>
      <c r="C30" s="16">
        <f t="shared" si="0"/>
        <v>725</v>
      </c>
      <c r="D30" s="16">
        <f t="shared" si="1"/>
        <v>152.25</v>
      </c>
      <c r="E30" s="16">
        <f t="shared" si="2"/>
        <v>877.25</v>
      </c>
    </row>
    <row r="31" spans="1:5" x14ac:dyDescent="0.25">
      <c r="A31" s="9">
        <v>26</v>
      </c>
      <c r="B31">
        <v>30</v>
      </c>
      <c r="C31" s="16">
        <f t="shared" si="0"/>
        <v>780</v>
      </c>
      <c r="D31" s="16">
        <f t="shared" si="1"/>
        <v>163.79999999999998</v>
      </c>
      <c r="E31" s="16">
        <f t="shared" si="2"/>
        <v>943.8</v>
      </c>
    </row>
    <row r="32" spans="1:5" x14ac:dyDescent="0.25">
      <c r="A32" s="9">
        <v>27</v>
      </c>
      <c r="B32">
        <v>31</v>
      </c>
      <c r="C32" s="16">
        <f t="shared" si="0"/>
        <v>837</v>
      </c>
      <c r="D32" s="16">
        <f t="shared" si="1"/>
        <v>175.76999999999998</v>
      </c>
      <c r="E32" s="16">
        <f t="shared" si="2"/>
        <v>1012.77</v>
      </c>
    </row>
    <row r="33" spans="1:5" x14ac:dyDescent="0.25">
      <c r="A33" s="9">
        <v>28</v>
      </c>
      <c r="B33">
        <v>32</v>
      </c>
      <c r="C33" s="16">
        <f t="shared" si="0"/>
        <v>896</v>
      </c>
      <c r="D33" s="16">
        <f t="shared" si="1"/>
        <v>188.16</v>
      </c>
      <c r="E33" s="16">
        <f t="shared" si="2"/>
        <v>1084.1600000000001</v>
      </c>
    </row>
    <row r="34" spans="1:5" x14ac:dyDescent="0.25">
      <c r="A34" s="9">
        <v>29</v>
      </c>
      <c r="B34">
        <v>33</v>
      </c>
      <c r="C34" s="16">
        <f t="shared" si="0"/>
        <v>957</v>
      </c>
      <c r="D34" s="16">
        <f t="shared" si="1"/>
        <v>200.97</v>
      </c>
      <c r="E34" s="16">
        <f t="shared" si="2"/>
        <v>1157.97</v>
      </c>
    </row>
    <row r="35" spans="1:5" x14ac:dyDescent="0.25">
      <c r="A35" s="9">
        <v>30</v>
      </c>
      <c r="B35">
        <v>34</v>
      </c>
      <c r="C35" s="16">
        <f t="shared" si="0"/>
        <v>1020</v>
      </c>
      <c r="D35" s="16">
        <f t="shared" si="1"/>
        <v>214.2</v>
      </c>
      <c r="E35" s="16">
        <f t="shared" si="2"/>
        <v>1234.2</v>
      </c>
    </row>
    <row r="36" spans="1:5" x14ac:dyDescent="0.25">
      <c r="A36" s="9">
        <v>31</v>
      </c>
      <c r="B36">
        <v>35</v>
      </c>
      <c r="C36" s="16">
        <f t="shared" si="0"/>
        <v>1085</v>
      </c>
      <c r="D36" s="16">
        <f t="shared" si="1"/>
        <v>227.85</v>
      </c>
      <c r="E36" s="16">
        <f t="shared" si="2"/>
        <v>1312.85</v>
      </c>
    </row>
    <row r="37" spans="1:5" x14ac:dyDescent="0.25">
      <c r="A37" s="9">
        <v>32</v>
      </c>
      <c r="B37">
        <v>36</v>
      </c>
      <c r="C37" s="16">
        <f t="shared" si="0"/>
        <v>1152</v>
      </c>
      <c r="D37" s="16">
        <f t="shared" si="1"/>
        <v>241.92</v>
      </c>
      <c r="E37" s="16">
        <f t="shared" si="2"/>
        <v>1393.92</v>
      </c>
    </row>
    <row r="38" spans="1:5" x14ac:dyDescent="0.25">
      <c r="A38" s="9">
        <v>33</v>
      </c>
      <c r="B38">
        <v>37</v>
      </c>
      <c r="C38" s="16">
        <f t="shared" si="0"/>
        <v>1221</v>
      </c>
      <c r="D38" s="16">
        <f t="shared" si="1"/>
        <v>256.40999999999997</v>
      </c>
      <c r="E38" s="16">
        <f t="shared" si="2"/>
        <v>1477.4099999999999</v>
      </c>
    </row>
    <row r="39" spans="1:5" x14ac:dyDescent="0.25">
      <c r="A39" s="9">
        <v>34</v>
      </c>
      <c r="B39">
        <v>38</v>
      </c>
      <c r="C39" s="16">
        <f t="shared" si="0"/>
        <v>1292</v>
      </c>
      <c r="D39" s="16">
        <f t="shared" si="1"/>
        <v>271.32</v>
      </c>
      <c r="E39" s="16">
        <f t="shared" si="2"/>
        <v>1563.32</v>
      </c>
    </row>
    <row r="40" spans="1:5" x14ac:dyDescent="0.25">
      <c r="A40" s="9">
        <v>35</v>
      </c>
      <c r="B40">
        <v>39</v>
      </c>
      <c r="C40" s="16">
        <f t="shared" si="0"/>
        <v>1365</v>
      </c>
      <c r="D40" s="16">
        <f t="shared" si="1"/>
        <v>286.64999999999998</v>
      </c>
      <c r="E40" s="16">
        <f t="shared" si="2"/>
        <v>1651.65</v>
      </c>
    </row>
    <row r="41" spans="1:5" x14ac:dyDescent="0.25">
      <c r="A41" s="9">
        <v>36</v>
      </c>
      <c r="B41">
        <v>40</v>
      </c>
      <c r="C41" s="16">
        <f t="shared" si="0"/>
        <v>1440</v>
      </c>
      <c r="D41" s="16">
        <f t="shared" si="1"/>
        <v>302.39999999999998</v>
      </c>
      <c r="E41" s="16">
        <f t="shared" si="2"/>
        <v>1742.4</v>
      </c>
    </row>
    <row r="42" spans="1:5" x14ac:dyDescent="0.25">
      <c r="A42" s="9">
        <v>37</v>
      </c>
      <c r="B42">
        <v>41</v>
      </c>
      <c r="C42" s="16">
        <f t="shared" si="0"/>
        <v>1517</v>
      </c>
      <c r="D42" s="16">
        <f t="shared" si="1"/>
        <v>318.57</v>
      </c>
      <c r="E42" s="16">
        <f t="shared" si="2"/>
        <v>1835.57</v>
      </c>
    </row>
    <row r="43" spans="1:5" x14ac:dyDescent="0.25">
      <c r="A43" s="9">
        <v>38</v>
      </c>
      <c r="B43">
        <v>42</v>
      </c>
      <c r="C43" s="16">
        <f t="shared" si="0"/>
        <v>1596</v>
      </c>
      <c r="D43" s="16">
        <f t="shared" si="1"/>
        <v>335.15999999999997</v>
      </c>
      <c r="E43" s="16">
        <f t="shared" si="2"/>
        <v>1931.1599999999999</v>
      </c>
    </row>
    <row r="44" spans="1:5" x14ac:dyDescent="0.25">
      <c r="A44" s="9">
        <v>39</v>
      </c>
      <c r="B44">
        <v>43</v>
      </c>
      <c r="C44" s="16">
        <f t="shared" si="0"/>
        <v>1677</v>
      </c>
      <c r="D44" s="16">
        <f t="shared" si="1"/>
        <v>352.16999999999996</v>
      </c>
      <c r="E44" s="16">
        <f t="shared" si="2"/>
        <v>2029.17</v>
      </c>
    </row>
    <row r="45" spans="1:5" x14ac:dyDescent="0.25">
      <c r="A45" s="9">
        <v>40</v>
      </c>
      <c r="B45">
        <v>44</v>
      </c>
      <c r="C45" s="16">
        <f t="shared" si="0"/>
        <v>1760</v>
      </c>
      <c r="D45" s="16">
        <f t="shared" si="1"/>
        <v>369.59999999999997</v>
      </c>
      <c r="E45" s="16">
        <f t="shared" si="2"/>
        <v>2129.6</v>
      </c>
    </row>
    <row r="46" spans="1:5" x14ac:dyDescent="0.25">
      <c r="A46" s="9">
        <v>41</v>
      </c>
      <c r="B46">
        <v>45</v>
      </c>
      <c r="C46" s="16">
        <f t="shared" si="0"/>
        <v>1845</v>
      </c>
      <c r="D46" s="16">
        <f t="shared" si="1"/>
        <v>387.45</v>
      </c>
      <c r="E46" s="16">
        <f t="shared" si="2"/>
        <v>2232.4499999999998</v>
      </c>
    </row>
    <row r="47" spans="1:5" x14ac:dyDescent="0.25">
      <c r="A47" s="9">
        <v>42</v>
      </c>
      <c r="B47">
        <v>46</v>
      </c>
      <c r="C47" s="16">
        <f t="shared" si="0"/>
        <v>1932</v>
      </c>
      <c r="D47" s="16">
        <f t="shared" si="1"/>
        <v>405.71999999999997</v>
      </c>
      <c r="E47" s="16">
        <f t="shared" si="2"/>
        <v>2337.7199999999998</v>
      </c>
    </row>
    <row r="48" spans="1:5" x14ac:dyDescent="0.25">
      <c r="A48" s="9">
        <v>43</v>
      </c>
      <c r="B48">
        <v>47</v>
      </c>
      <c r="C48" s="16">
        <f t="shared" si="0"/>
        <v>2021</v>
      </c>
      <c r="D48" s="16">
        <f t="shared" si="1"/>
        <v>424.40999999999997</v>
      </c>
      <c r="E48" s="16">
        <f t="shared" si="2"/>
        <v>2445.41</v>
      </c>
    </row>
    <row r="49" spans="1:5" x14ac:dyDescent="0.25">
      <c r="A49" s="9">
        <v>44</v>
      </c>
      <c r="B49">
        <v>48</v>
      </c>
      <c r="C49" s="16">
        <f t="shared" si="0"/>
        <v>2112</v>
      </c>
      <c r="D49" s="16">
        <f t="shared" si="1"/>
        <v>443.52</v>
      </c>
      <c r="E49" s="16">
        <f t="shared" si="2"/>
        <v>2555.52</v>
      </c>
    </row>
    <row r="50" spans="1:5" x14ac:dyDescent="0.25">
      <c r="A50" s="9">
        <v>45</v>
      </c>
      <c r="B50">
        <v>49</v>
      </c>
      <c r="C50" s="16">
        <f t="shared" si="0"/>
        <v>2205</v>
      </c>
      <c r="D50" s="16">
        <f t="shared" si="1"/>
        <v>463.04999999999995</v>
      </c>
      <c r="E50" s="16">
        <f t="shared" si="2"/>
        <v>2668.05</v>
      </c>
    </row>
    <row r="51" spans="1:5" x14ac:dyDescent="0.25">
      <c r="A51" s="9">
        <v>46</v>
      </c>
      <c r="B51">
        <v>50</v>
      </c>
      <c r="C51" s="16">
        <f t="shared" si="0"/>
        <v>2300</v>
      </c>
      <c r="D51" s="16">
        <f t="shared" si="1"/>
        <v>483</v>
      </c>
      <c r="E51" s="16">
        <f t="shared" si="2"/>
        <v>2783</v>
      </c>
    </row>
    <row r="52" spans="1:5" x14ac:dyDescent="0.25">
      <c r="A52" s="9">
        <v>47</v>
      </c>
      <c r="B52">
        <v>51</v>
      </c>
      <c r="C52" s="16">
        <f t="shared" si="0"/>
        <v>2397</v>
      </c>
      <c r="D52" s="16">
        <f t="shared" si="1"/>
        <v>503.37</v>
      </c>
      <c r="E52" s="16">
        <f t="shared" si="2"/>
        <v>2900.37</v>
      </c>
    </row>
    <row r="53" spans="1:5" x14ac:dyDescent="0.25">
      <c r="A53" s="9">
        <v>48</v>
      </c>
      <c r="B53">
        <v>52</v>
      </c>
      <c r="C53" s="16">
        <f t="shared" si="0"/>
        <v>2496</v>
      </c>
      <c r="D53" s="16">
        <f t="shared" si="1"/>
        <v>524.16</v>
      </c>
      <c r="E53" s="16">
        <f t="shared" si="2"/>
        <v>3020.16</v>
      </c>
    </row>
    <row r="54" spans="1:5" x14ac:dyDescent="0.25">
      <c r="A54" s="9">
        <v>49</v>
      </c>
      <c r="B54">
        <v>53</v>
      </c>
      <c r="C54" s="16">
        <f t="shared" si="0"/>
        <v>2597</v>
      </c>
      <c r="D54" s="16">
        <f t="shared" si="1"/>
        <v>545.37</v>
      </c>
      <c r="E54" s="16">
        <f t="shared" si="2"/>
        <v>3142.37</v>
      </c>
    </row>
    <row r="55" spans="1:5" x14ac:dyDescent="0.25">
      <c r="A55" s="9">
        <v>50</v>
      </c>
      <c r="B55">
        <v>54</v>
      </c>
      <c r="C55" s="16">
        <f t="shared" si="0"/>
        <v>2700</v>
      </c>
      <c r="D55" s="16">
        <f t="shared" si="1"/>
        <v>567</v>
      </c>
      <c r="E55" s="16">
        <f t="shared" si="2"/>
        <v>3267</v>
      </c>
    </row>
    <row r="56" spans="1:5" x14ac:dyDescent="0.25">
      <c r="A56" s="9">
        <v>51</v>
      </c>
      <c r="B56">
        <v>55</v>
      </c>
      <c r="C56" s="16">
        <f t="shared" si="0"/>
        <v>2805</v>
      </c>
      <c r="D56" s="16">
        <f t="shared" si="1"/>
        <v>589.04999999999995</v>
      </c>
      <c r="E56" s="16">
        <f t="shared" si="2"/>
        <v>3394.05</v>
      </c>
    </row>
    <row r="57" spans="1:5" x14ac:dyDescent="0.25">
      <c r="A57" s="9">
        <v>52</v>
      </c>
      <c r="B57">
        <v>56</v>
      </c>
      <c r="C57" s="16">
        <f t="shared" si="0"/>
        <v>2912</v>
      </c>
      <c r="D57" s="16">
        <f t="shared" si="1"/>
        <v>611.52</v>
      </c>
      <c r="E57" s="16">
        <f t="shared" si="2"/>
        <v>3523.52</v>
      </c>
    </row>
    <row r="58" spans="1:5" x14ac:dyDescent="0.25">
      <c r="A58" s="9">
        <v>53</v>
      </c>
      <c r="B58">
        <v>57</v>
      </c>
      <c r="C58" s="16">
        <f t="shared" si="0"/>
        <v>3021</v>
      </c>
      <c r="D58" s="16">
        <f t="shared" si="1"/>
        <v>634.41</v>
      </c>
      <c r="E58" s="16">
        <f t="shared" si="2"/>
        <v>3655.41</v>
      </c>
    </row>
    <row r="59" spans="1:5" x14ac:dyDescent="0.25">
      <c r="A59" s="9">
        <v>54</v>
      </c>
      <c r="B59">
        <v>58</v>
      </c>
      <c r="C59" s="16">
        <f t="shared" si="0"/>
        <v>3132</v>
      </c>
      <c r="D59" s="16">
        <f t="shared" si="1"/>
        <v>657.72</v>
      </c>
      <c r="E59" s="16">
        <f t="shared" si="2"/>
        <v>3789.7200000000003</v>
      </c>
    </row>
    <row r="60" spans="1:5" x14ac:dyDescent="0.25">
      <c r="A60" s="9">
        <v>55</v>
      </c>
      <c r="B60">
        <v>59</v>
      </c>
      <c r="C60" s="16">
        <f t="shared" si="0"/>
        <v>3245</v>
      </c>
      <c r="D60" s="16">
        <f t="shared" si="1"/>
        <v>681.44999999999993</v>
      </c>
      <c r="E60" s="16">
        <f t="shared" si="2"/>
        <v>3926.45</v>
      </c>
    </row>
    <row r="61" spans="1:5" x14ac:dyDescent="0.25">
      <c r="A61" s="9">
        <v>56</v>
      </c>
      <c r="B61">
        <v>60</v>
      </c>
      <c r="C61" s="16">
        <f t="shared" si="0"/>
        <v>3360</v>
      </c>
      <c r="D61" s="16">
        <f t="shared" si="1"/>
        <v>705.6</v>
      </c>
      <c r="E61" s="16">
        <f t="shared" si="2"/>
        <v>4065.6</v>
      </c>
    </row>
    <row r="62" spans="1:5" x14ac:dyDescent="0.25">
      <c r="A62" s="9">
        <v>57</v>
      </c>
      <c r="B62">
        <v>61</v>
      </c>
      <c r="C62" s="16">
        <f t="shared" si="0"/>
        <v>3477</v>
      </c>
      <c r="D62" s="16">
        <f t="shared" si="1"/>
        <v>730.17</v>
      </c>
      <c r="E62" s="16">
        <f t="shared" si="2"/>
        <v>4207.17</v>
      </c>
    </row>
    <row r="63" spans="1:5" x14ac:dyDescent="0.25">
      <c r="A63" s="9">
        <v>58</v>
      </c>
      <c r="B63">
        <v>62</v>
      </c>
      <c r="C63" s="16">
        <f t="shared" si="0"/>
        <v>3596</v>
      </c>
      <c r="D63" s="16">
        <f t="shared" si="1"/>
        <v>755.16</v>
      </c>
      <c r="E63" s="16">
        <f t="shared" si="2"/>
        <v>4351.16</v>
      </c>
    </row>
    <row r="64" spans="1:5" x14ac:dyDescent="0.25">
      <c r="A64" s="9">
        <v>59</v>
      </c>
      <c r="B64">
        <v>63</v>
      </c>
      <c r="C64" s="16">
        <f t="shared" si="0"/>
        <v>3717</v>
      </c>
      <c r="D64" s="16">
        <f t="shared" si="1"/>
        <v>780.56999999999994</v>
      </c>
      <c r="E64" s="16">
        <f t="shared" si="2"/>
        <v>4497.57</v>
      </c>
    </row>
    <row r="65" spans="1:5" x14ac:dyDescent="0.25">
      <c r="A65" s="9">
        <v>60</v>
      </c>
      <c r="B65">
        <v>64</v>
      </c>
      <c r="C65" s="16">
        <f t="shared" si="0"/>
        <v>3840</v>
      </c>
      <c r="D65" s="16">
        <f t="shared" si="1"/>
        <v>806.4</v>
      </c>
      <c r="E65" s="16">
        <f t="shared" si="2"/>
        <v>4646.3999999999996</v>
      </c>
    </row>
    <row r="66" spans="1:5" x14ac:dyDescent="0.25">
      <c r="A66" s="9">
        <v>61</v>
      </c>
      <c r="B66">
        <v>65</v>
      </c>
      <c r="C66" s="16">
        <f t="shared" ref="C66:C129" si="3">A66*B66</f>
        <v>3965</v>
      </c>
      <c r="D66" s="16">
        <f t="shared" ref="D66:D129" si="4">C66* 0.21</f>
        <v>832.65</v>
      </c>
      <c r="E66" s="16">
        <f t="shared" ref="E66:E129" si="5">C66+D66</f>
        <v>4797.6499999999996</v>
      </c>
    </row>
    <row r="67" spans="1:5" x14ac:dyDescent="0.25">
      <c r="A67" s="9">
        <v>62</v>
      </c>
      <c r="B67">
        <v>66</v>
      </c>
      <c r="C67" s="16">
        <f t="shared" si="3"/>
        <v>4092</v>
      </c>
      <c r="D67" s="16">
        <f t="shared" si="4"/>
        <v>859.31999999999994</v>
      </c>
      <c r="E67" s="16">
        <f t="shared" si="5"/>
        <v>4951.32</v>
      </c>
    </row>
    <row r="68" spans="1:5" x14ac:dyDescent="0.25">
      <c r="A68" s="9">
        <v>63</v>
      </c>
      <c r="B68">
        <v>67</v>
      </c>
      <c r="C68" s="16">
        <f t="shared" si="3"/>
        <v>4221</v>
      </c>
      <c r="D68" s="16">
        <f t="shared" si="4"/>
        <v>886.41</v>
      </c>
      <c r="E68" s="16">
        <f t="shared" si="5"/>
        <v>5107.41</v>
      </c>
    </row>
    <row r="69" spans="1:5" x14ac:dyDescent="0.25">
      <c r="A69" s="9">
        <v>64</v>
      </c>
      <c r="B69">
        <v>68</v>
      </c>
      <c r="C69" s="16">
        <f t="shared" si="3"/>
        <v>4352</v>
      </c>
      <c r="D69" s="16">
        <f t="shared" si="4"/>
        <v>913.92</v>
      </c>
      <c r="E69" s="16">
        <f t="shared" si="5"/>
        <v>5265.92</v>
      </c>
    </row>
    <row r="70" spans="1:5" x14ac:dyDescent="0.25">
      <c r="A70" s="9">
        <v>65</v>
      </c>
      <c r="B70">
        <v>69</v>
      </c>
      <c r="C70" s="16">
        <f t="shared" si="3"/>
        <v>4485</v>
      </c>
      <c r="D70" s="16">
        <f t="shared" si="4"/>
        <v>941.84999999999991</v>
      </c>
      <c r="E70" s="16">
        <f t="shared" si="5"/>
        <v>5426.85</v>
      </c>
    </row>
    <row r="71" spans="1:5" x14ac:dyDescent="0.25">
      <c r="A71" s="9">
        <v>66</v>
      </c>
      <c r="B71">
        <v>70</v>
      </c>
      <c r="C71" s="16">
        <f t="shared" si="3"/>
        <v>4620</v>
      </c>
      <c r="D71" s="16">
        <f t="shared" si="4"/>
        <v>970.19999999999993</v>
      </c>
      <c r="E71" s="16">
        <f t="shared" si="5"/>
        <v>5590.2</v>
      </c>
    </row>
    <row r="72" spans="1:5" x14ac:dyDescent="0.25">
      <c r="A72" s="9">
        <v>67</v>
      </c>
      <c r="B72">
        <v>71</v>
      </c>
      <c r="C72" s="16">
        <f t="shared" si="3"/>
        <v>4757</v>
      </c>
      <c r="D72" s="16">
        <f t="shared" si="4"/>
        <v>998.96999999999991</v>
      </c>
      <c r="E72" s="16">
        <f t="shared" si="5"/>
        <v>5755.97</v>
      </c>
    </row>
    <row r="73" spans="1:5" x14ac:dyDescent="0.25">
      <c r="A73" s="9">
        <v>68</v>
      </c>
      <c r="B73">
        <v>72</v>
      </c>
      <c r="C73" s="16">
        <f t="shared" si="3"/>
        <v>4896</v>
      </c>
      <c r="D73" s="16">
        <f t="shared" si="4"/>
        <v>1028.1599999999999</v>
      </c>
      <c r="E73" s="16">
        <f t="shared" si="5"/>
        <v>5924.16</v>
      </c>
    </row>
    <row r="74" spans="1:5" x14ac:dyDescent="0.25">
      <c r="A74" s="9">
        <v>69</v>
      </c>
      <c r="B74">
        <v>73</v>
      </c>
      <c r="C74" s="16">
        <f t="shared" si="3"/>
        <v>5037</v>
      </c>
      <c r="D74" s="16">
        <f t="shared" si="4"/>
        <v>1057.77</v>
      </c>
      <c r="E74" s="16">
        <f t="shared" si="5"/>
        <v>6094.77</v>
      </c>
    </row>
    <row r="75" spans="1:5" x14ac:dyDescent="0.25">
      <c r="A75" s="9">
        <v>70</v>
      </c>
      <c r="B75">
        <v>74</v>
      </c>
      <c r="C75" s="16">
        <f t="shared" si="3"/>
        <v>5180</v>
      </c>
      <c r="D75" s="16">
        <f t="shared" si="4"/>
        <v>1087.8</v>
      </c>
      <c r="E75" s="16">
        <f t="shared" si="5"/>
        <v>6267.8</v>
      </c>
    </row>
    <row r="76" spans="1:5" x14ac:dyDescent="0.25">
      <c r="A76" s="9">
        <v>71</v>
      </c>
      <c r="B76">
        <v>75</v>
      </c>
      <c r="C76" s="16">
        <f t="shared" si="3"/>
        <v>5325</v>
      </c>
      <c r="D76" s="16">
        <f t="shared" si="4"/>
        <v>1118.25</v>
      </c>
      <c r="E76" s="16">
        <f t="shared" si="5"/>
        <v>6443.25</v>
      </c>
    </row>
    <row r="77" spans="1:5" x14ac:dyDescent="0.25">
      <c r="A77" s="9">
        <v>72</v>
      </c>
      <c r="B77">
        <v>76</v>
      </c>
      <c r="C77" s="16">
        <f t="shared" si="3"/>
        <v>5472</v>
      </c>
      <c r="D77" s="16">
        <f t="shared" si="4"/>
        <v>1149.1199999999999</v>
      </c>
      <c r="E77" s="16">
        <f t="shared" si="5"/>
        <v>6621.12</v>
      </c>
    </row>
    <row r="78" spans="1:5" x14ac:dyDescent="0.25">
      <c r="A78" s="9">
        <v>73</v>
      </c>
      <c r="B78">
        <v>77</v>
      </c>
      <c r="C78" s="16">
        <f t="shared" si="3"/>
        <v>5621</v>
      </c>
      <c r="D78" s="16">
        <f t="shared" si="4"/>
        <v>1180.4099999999999</v>
      </c>
      <c r="E78" s="16">
        <f t="shared" si="5"/>
        <v>6801.41</v>
      </c>
    </row>
    <row r="79" spans="1:5" x14ac:dyDescent="0.25">
      <c r="A79" s="9">
        <v>74</v>
      </c>
      <c r="B79">
        <v>78</v>
      </c>
      <c r="C79" s="16">
        <f t="shared" si="3"/>
        <v>5772</v>
      </c>
      <c r="D79" s="16">
        <f t="shared" si="4"/>
        <v>1212.1199999999999</v>
      </c>
      <c r="E79" s="16">
        <f t="shared" si="5"/>
        <v>6984.12</v>
      </c>
    </row>
    <row r="80" spans="1:5" x14ac:dyDescent="0.25">
      <c r="A80" s="9">
        <v>75</v>
      </c>
      <c r="B80">
        <v>79</v>
      </c>
      <c r="C80" s="16">
        <f t="shared" si="3"/>
        <v>5925</v>
      </c>
      <c r="D80" s="16">
        <f t="shared" si="4"/>
        <v>1244.25</v>
      </c>
      <c r="E80" s="16">
        <f t="shared" si="5"/>
        <v>7169.25</v>
      </c>
    </row>
    <row r="81" spans="1:5" x14ac:dyDescent="0.25">
      <c r="A81" s="9">
        <v>76</v>
      </c>
      <c r="B81">
        <v>80</v>
      </c>
      <c r="C81" s="16">
        <f t="shared" si="3"/>
        <v>6080</v>
      </c>
      <c r="D81" s="16">
        <f t="shared" si="4"/>
        <v>1276.8</v>
      </c>
      <c r="E81" s="16">
        <f t="shared" si="5"/>
        <v>7356.8</v>
      </c>
    </row>
    <row r="82" spans="1:5" x14ac:dyDescent="0.25">
      <c r="A82" s="9">
        <v>77</v>
      </c>
      <c r="B82">
        <v>81</v>
      </c>
      <c r="C82" s="16">
        <f t="shared" si="3"/>
        <v>6237</v>
      </c>
      <c r="D82" s="16">
        <f t="shared" si="4"/>
        <v>1309.77</v>
      </c>
      <c r="E82" s="16">
        <f t="shared" si="5"/>
        <v>7546.77</v>
      </c>
    </row>
    <row r="83" spans="1:5" x14ac:dyDescent="0.25">
      <c r="A83" s="9">
        <v>78</v>
      </c>
      <c r="B83">
        <v>82</v>
      </c>
      <c r="C83" s="16">
        <f t="shared" si="3"/>
        <v>6396</v>
      </c>
      <c r="D83" s="16">
        <f t="shared" si="4"/>
        <v>1343.1599999999999</v>
      </c>
      <c r="E83" s="16">
        <f t="shared" si="5"/>
        <v>7739.16</v>
      </c>
    </row>
    <row r="84" spans="1:5" x14ac:dyDescent="0.25">
      <c r="A84" s="9">
        <v>79</v>
      </c>
      <c r="B84">
        <v>83</v>
      </c>
      <c r="C84" s="16">
        <f t="shared" si="3"/>
        <v>6557</v>
      </c>
      <c r="D84" s="16">
        <f t="shared" si="4"/>
        <v>1376.97</v>
      </c>
      <c r="E84" s="16">
        <f t="shared" si="5"/>
        <v>7933.97</v>
      </c>
    </row>
    <row r="85" spans="1:5" x14ac:dyDescent="0.25">
      <c r="A85" s="9">
        <v>80</v>
      </c>
      <c r="B85">
        <v>84</v>
      </c>
      <c r="C85" s="16">
        <f t="shared" si="3"/>
        <v>6720</v>
      </c>
      <c r="D85" s="16">
        <f t="shared" si="4"/>
        <v>1411.2</v>
      </c>
      <c r="E85" s="16">
        <f t="shared" si="5"/>
        <v>8131.2</v>
      </c>
    </row>
    <row r="86" spans="1:5" x14ac:dyDescent="0.25">
      <c r="A86" s="9">
        <v>81</v>
      </c>
      <c r="B86">
        <v>85</v>
      </c>
      <c r="C86" s="16">
        <f t="shared" si="3"/>
        <v>6885</v>
      </c>
      <c r="D86" s="16">
        <f t="shared" si="4"/>
        <v>1445.85</v>
      </c>
      <c r="E86" s="16">
        <f t="shared" si="5"/>
        <v>8330.85</v>
      </c>
    </row>
    <row r="87" spans="1:5" x14ac:dyDescent="0.25">
      <c r="A87" s="9">
        <v>82</v>
      </c>
      <c r="B87">
        <v>86</v>
      </c>
      <c r="C87" s="16">
        <f t="shared" si="3"/>
        <v>7052</v>
      </c>
      <c r="D87" s="16">
        <f t="shared" si="4"/>
        <v>1480.9199999999998</v>
      </c>
      <c r="E87" s="16">
        <f t="shared" si="5"/>
        <v>8532.92</v>
      </c>
    </row>
    <row r="88" spans="1:5" x14ac:dyDescent="0.25">
      <c r="A88" s="9">
        <v>83</v>
      </c>
      <c r="B88">
        <v>87</v>
      </c>
      <c r="C88" s="16">
        <f t="shared" si="3"/>
        <v>7221</v>
      </c>
      <c r="D88" s="16">
        <f t="shared" si="4"/>
        <v>1516.4099999999999</v>
      </c>
      <c r="E88" s="16">
        <f t="shared" si="5"/>
        <v>8737.41</v>
      </c>
    </row>
    <row r="89" spans="1:5" x14ac:dyDescent="0.25">
      <c r="A89" s="9">
        <v>84</v>
      </c>
      <c r="B89">
        <v>88</v>
      </c>
      <c r="C89" s="16">
        <f t="shared" si="3"/>
        <v>7392</v>
      </c>
      <c r="D89" s="16">
        <f t="shared" si="4"/>
        <v>1552.32</v>
      </c>
      <c r="E89" s="16">
        <f t="shared" si="5"/>
        <v>8944.32</v>
      </c>
    </row>
    <row r="90" spans="1:5" x14ac:dyDescent="0.25">
      <c r="A90" s="9">
        <v>85</v>
      </c>
      <c r="B90">
        <v>89</v>
      </c>
      <c r="C90" s="16">
        <f t="shared" si="3"/>
        <v>7565</v>
      </c>
      <c r="D90" s="16">
        <f t="shared" si="4"/>
        <v>1588.6499999999999</v>
      </c>
      <c r="E90" s="16">
        <f t="shared" si="5"/>
        <v>9153.65</v>
      </c>
    </row>
    <row r="91" spans="1:5" x14ac:dyDescent="0.25">
      <c r="A91" s="9">
        <v>86</v>
      </c>
      <c r="B91">
        <v>90</v>
      </c>
      <c r="C91" s="16">
        <f t="shared" si="3"/>
        <v>7740</v>
      </c>
      <c r="D91" s="16">
        <f t="shared" si="4"/>
        <v>1625.3999999999999</v>
      </c>
      <c r="E91" s="16">
        <f t="shared" si="5"/>
        <v>9365.4</v>
      </c>
    </row>
    <row r="92" spans="1:5" x14ac:dyDescent="0.25">
      <c r="A92" s="9">
        <v>87</v>
      </c>
      <c r="B92">
        <v>91</v>
      </c>
      <c r="C92" s="16">
        <f t="shared" si="3"/>
        <v>7917</v>
      </c>
      <c r="D92" s="16">
        <f t="shared" si="4"/>
        <v>1662.57</v>
      </c>
      <c r="E92" s="16">
        <f t="shared" si="5"/>
        <v>9579.57</v>
      </c>
    </row>
    <row r="93" spans="1:5" x14ac:dyDescent="0.25">
      <c r="A93" s="9">
        <v>88</v>
      </c>
      <c r="B93">
        <v>92</v>
      </c>
      <c r="C93" s="16">
        <f t="shared" si="3"/>
        <v>8096</v>
      </c>
      <c r="D93" s="16">
        <f t="shared" si="4"/>
        <v>1700.1599999999999</v>
      </c>
      <c r="E93" s="16">
        <f t="shared" si="5"/>
        <v>9796.16</v>
      </c>
    </row>
    <row r="94" spans="1:5" x14ac:dyDescent="0.25">
      <c r="A94" s="9">
        <v>89</v>
      </c>
      <c r="B94">
        <v>93</v>
      </c>
      <c r="C94" s="16">
        <f t="shared" si="3"/>
        <v>8277</v>
      </c>
      <c r="D94" s="16">
        <f t="shared" si="4"/>
        <v>1738.1699999999998</v>
      </c>
      <c r="E94" s="16">
        <f t="shared" si="5"/>
        <v>10015.17</v>
      </c>
    </row>
    <row r="95" spans="1:5" x14ac:dyDescent="0.25">
      <c r="A95" s="9">
        <v>90</v>
      </c>
      <c r="B95">
        <v>94</v>
      </c>
      <c r="C95" s="16">
        <f t="shared" si="3"/>
        <v>8460</v>
      </c>
      <c r="D95" s="16">
        <f t="shared" si="4"/>
        <v>1776.6</v>
      </c>
      <c r="E95" s="16">
        <f t="shared" si="5"/>
        <v>10236.6</v>
      </c>
    </row>
    <row r="96" spans="1:5" x14ac:dyDescent="0.25">
      <c r="A96" s="9">
        <v>91</v>
      </c>
      <c r="B96">
        <v>95</v>
      </c>
      <c r="C96" s="16">
        <f t="shared" si="3"/>
        <v>8645</v>
      </c>
      <c r="D96" s="16">
        <f t="shared" si="4"/>
        <v>1815.45</v>
      </c>
      <c r="E96" s="16">
        <f t="shared" si="5"/>
        <v>10460.450000000001</v>
      </c>
    </row>
    <row r="97" spans="1:5" x14ac:dyDescent="0.25">
      <c r="A97" s="9">
        <v>92</v>
      </c>
      <c r="B97">
        <v>96</v>
      </c>
      <c r="C97" s="16">
        <f t="shared" si="3"/>
        <v>8832</v>
      </c>
      <c r="D97" s="16">
        <f t="shared" si="4"/>
        <v>1854.72</v>
      </c>
      <c r="E97" s="16">
        <f t="shared" si="5"/>
        <v>10686.72</v>
      </c>
    </row>
    <row r="98" spans="1:5" x14ac:dyDescent="0.25">
      <c r="A98" s="9">
        <v>93</v>
      </c>
      <c r="B98">
        <v>97</v>
      </c>
      <c r="C98" s="16">
        <f t="shared" si="3"/>
        <v>9021</v>
      </c>
      <c r="D98" s="16">
        <f t="shared" si="4"/>
        <v>1894.4099999999999</v>
      </c>
      <c r="E98" s="16">
        <f t="shared" si="5"/>
        <v>10915.41</v>
      </c>
    </row>
    <row r="99" spans="1:5" x14ac:dyDescent="0.25">
      <c r="A99" s="9">
        <v>94</v>
      </c>
      <c r="B99">
        <v>98</v>
      </c>
      <c r="C99" s="16">
        <f t="shared" si="3"/>
        <v>9212</v>
      </c>
      <c r="D99" s="16">
        <f t="shared" si="4"/>
        <v>1934.52</v>
      </c>
      <c r="E99" s="16">
        <f t="shared" si="5"/>
        <v>11146.52</v>
      </c>
    </row>
    <row r="100" spans="1:5" x14ac:dyDescent="0.25">
      <c r="A100" s="9">
        <v>95</v>
      </c>
      <c r="B100">
        <v>99</v>
      </c>
      <c r="C100" s="16">
        <f t="shared" si="3"/>
        <v>9405</v>
      </c>
      <c r="D100" s="16">
        <f t="shared" si="4"/>
        <v>1975.05</v>
      </c>
      <c r="E100" s="16">
        <f t="shared" si="5"/>
        <v>11380.05</v>
      </c>
    </row>
    <row r="101" spans="1:5" x14ac:dyDescent="0.25">
      <c r="A101" s="9">
        <v>96</v>
      </c>
      <c r="B101">
        <v>100</v>
      </c>
      <c r="C101" s="16">
        <f t="shared" si="3"/>
        <v>9600</v>
      </c>
      <c r="D101" s="16">
        <f t="shared" si="4"/>
        <v>2016</v>
      </c>
      <c r="E101" s="16">
        <f t="shared" si="5"/>
        <v>11616</v>
      </c>
    </row>
    <row r="102" spans="1:5" x14ac:dyDescent="0.25">
      <c r="A102" s="9">
        <v>97</v>
      </c>
      <c r="B102">
        <v>101</v>
      </c>
      <c r="C102" s="16">
        <f t="shared" si="3"/>
        <v>9797</v>
      </c>
      <c r="D102" s="16">
        <f t="shared" si="4"/>
        <v>2057.37</v>
      </c>
      <c r="E102" s="16">
        <f t="shared" si="5"/>
        <v>11854.369999999999</v>
      </c>
    </row>
    <row r="103" spans="1:5" x14ac:dyDescent="0.25">
      <c r="A103" s="9">
        <v>98</v>
      </c>
      <c r="B103">
        <v>102</v>
      </c>
      <c r="C103" s="16">
        <f t="shared" si="3"/>
        <v>9996</v>
      </c>
      <c r="D103" s="16">
        <f t="shared" si="4"/>
        <v>2099.16</v>
      </c>
      <c r="E103" s="16">
        <f t="shared" si="5"/>
        <v>12095.16</v>
      </c>
    </row>
    <row r="104" spans="1:5" x14ac:dyDescent="0.25">
      <c r="A104" s="9">
        <v>99</v>
      </c>
      <c r="B104">
        <v>103</v>
      </c>
      <c r="C104" s="16">
        <f t="shared" si="3"/>
        <v>10197</v>
      </c>
      <c r="D104" s="16">
        <f t="shared" si="4"/>
        <v>2141.37</v>
      </c>
      <c r="E104" s="16">
        <f t="shared" si="5"/>
        <v>12338.369999999999</v>
      </c>
    </row>
    <row r="105" spans="1:5" x14ac:dyDescent="0.25">
      <c r="A105" s="9">
        <v>100</v>
      </c>
      <c r="B105">
        <v>104</v>
      </c>
      <c r="C105" s="16">
        <f t="shared" si="3"/>
        <v>10400</v>
      </c>
      <c r="D105" s="16">
        <f t="shared" si="4"/>
        <v>2184</v>
      </c>
      <c r="E105" s="16">
        <f t="shared" si="5"/>
        <v>12584</v>
      </c>
    </row>
    <row r="106" spans="1:5" x14ac:dyDescent="0.25">
      <c r="A106" s="9">
        <v>101</v>
      </c>
      <c r="B106">
        <v>105</v>
      </c>
      <c r="C106" s="16">
        <f t="shared" si="3"/>
        <v>10605</v>
      </c>
      <c r="D106" s="16">
        <f t="shared" si="4"/>
        <v>2227.0499999999997</v>
      </c>
      <c r="E106" s="16">
        <f t="shared" si="5"/>
        <v>12832.05</v>
      </c>
    </row>
    <row r="107" spans="1:5" x14ac:dyDescent="0.25">
      <c r="A107" s="9">
        <v>102</v>
      </c>
      <c r="B107">
        <v>106</v>
      </c>
      <c r="C107" s="16">
        <f t="shared" si="3"/>
        <v>10812</v>
      </c>
      <c r="D107" s="16">
        <f t="shared" si="4"/>
        <v>2270.52</v>
      </c>
      <c r="E107" s="16">
        <f t="shared" si="5"/>
        <v>13082.52</v>
      </c>
    </row>
    <row r="108" spans="1:5" x14ac:dyDescent="0.25">
      <c r="A108" s="9">
        <v>103</v>
      </c>
      <c r="B108">
        <v>107</v>
      </c>
      <c r="C108" s="16">
        <f t="shared" si="3"/>
        <v>11021</v>
      </c>
      <c r="D108" s="16">
        <f t="shared" si="4"/>
        <v>2314.41</v>
      </c>
      <c r="E108" s="16">
        <f t="shared" si="5"/>
        <v>13335.41</v>
      </c>
    </row>
    <row r="109" spans="1:5" x14ac:dyDescent="0.25">
      <c r="A109" s="9">
        <v>104</v>
      </c>
      <c r="B109">
        <v>108</v>
      </c>
      <c r="C109" s="16">
        <f t="shared" si="3"/>
        <v>11232</v>
      </c>
      <c r="D109" s="16">
        <f t="shared" si="4"/>
        <v>2358.7199999999998</v>
      </c>
      <c r="E109" s="16">
        <f t="shared" si="5"/>
        <v>13590.72</v>
      </c>
    </row>
    <row r="110" spans="1:5" x14ac:dyDescent="0.25">
      <c r="A110" s="9">
        <v>105</v>
      </c>
      <c r="B110">
        <v>109</v>
      </c>
      <c r="C110" s="16">
        <f t="shared" si="3"/>
        <v>11445</v>
      </c>
      <c r="D110" s="16">
        <f t="shared" si="4"/>
        <v>2403.4499999999998</v>
      </c>
      <c r="E110" s="16">
        <f t="shared" si="5"/>
        <v>13848.45</v>
      </c>
    </row>
    <row r="111" spans="1:5" x14ac:dyDescent="0.25">
      <c r="A111" s="9">
        <v>106</v>
      </c>
      <c r="B111">
        <v>110</v>
      </c>
      <c r="C111" s="16">
        <f t="shared" si="3"/>
        <v>11660</v>
      </c>
      <c r="D111" s="16">
        <f t="shared" si="4"/>
        <v>2448.6</v>
      </c>
      <c r="E111" s="16">
        <f t="shared" si="5"/>
        <v>14108.6</v>
      </c>
    </row>
    <row r="112" spans="1:5" x14ac:dyDescent="0.25">
      <c r="A112" s="9">
        <v>107</v>
      </c>
      <c r="B112">
        <v>111</v>
      </c>
      <c r="C112" s="16">
        <f t="shared" si="3"/>
        <v>11877</v>
      </c>
      <c r="D112" s="16">
        <f t="shared" si="4"/>
        <v>2494.17</v>
      </c>
      <c r="E112" s="16">
        <f t="shared" si="5"/>
        <v>14371.17</v>
      </c>
    </row>
    <row r="113" spans="1:5" x14ac:dyDescent="0.25">
      <c r="A113" s="9">
        <v>108</v>
      </c>
      <c r="B113">
        <v>112</v>
      </c>
      <c r="C113" s="16">
        <f t="shared" si="3"/>
        <v>12096</v>
      </c>
      <c r="D113" s="16">
        <f t="shared" si="4"/>
        <v>2540.16</v>
      </c>
      <c r="E113" s="16">
        <f t="shared" si="5"/>
        <v>14636.16</v>
      </c>
    </row>
    <row r="114" spans="1:5" x14ac:dyDescent="0.25">
      <c r="A114" s="9">
        <v>109</v>
      </c>
      <c r="B114">
        <v>113</v>
      </c>
      <c r="C114" s="16">
        <f t="shared" si="3"/>
        <v>12317</v>
      </c>
      <c r="D114" s="16">
        <f t="shared" si="4"/>
        <v>2586.5699999999997</v>
      </c>
      <c r="E114" s="16">
        <f t="shared" si="5"/>
        <v>14903.57</v>
      </c>
    </row>
    <row r="115" spans="1:5" x14ac:dyDescent="0.25">
      <c r="A115" s="9">
        <v>110</v>
      </c>
      <c r="B115">
        <v>114</v>
      </c>
      <c r="C115" s="16">
        <f t="shared" si="3"/>
        <v>12540</v>
      </c>
      <c r="D115" s="16">
        <f t="shared" si="4"/>
        <v>2633.4</v>
      </c>
      <c r="E115" s="16">
        <f t="shared" si="5"/>
        <v>15173.4</v>
      </c>
    </row>
    <row r="116" spans="1:5" x14ac:dyDescent="0.25">
      <c r="A116" s="9">
        <v>111</v>
      </c>
      <c r="B116">
        <v>115</v>
      </c>
      <c r="C116" s="16">
        <f t="shared" si="3"/>
        <v>12765</v>
      </c>
      <c r="D116" s="16">
        <f t="shared" si="4"/>
        <v>2680.65</v>
      </c>
      <c r="E116" s="16">
        <f t="shared" si="5"/>
        <v>15445.65</v>
      </c>
    </row>
    <row r="117" spans="1:5" x14ac:dyDescent="0.25">
      <c r="A117" s="9">
        <v>112</v>
      </c>
      <c r="B117">
        <v>116</v>
      </c>
      <c r="C117" s="16">
        <f t="shared" si="3"/>
        <v>12992</v>
      </c>
      <c r="D117" s="16">
        <f t="shared" si="4"/>
        <v>2728.3199999999997</v>
      </c>
      <c r="E117" s="16">
        <f t="shared" si="5"/>
        <v>15720.32</v>
      </c>
    </row>
    <row r="118" spans="1:5" x14ac:dyDescent="0.25">
      <c r="A118" s="9">
        <v>113</v>
      </c>
      <c r="B118">
        <v>117</v>
      </c>
      <c r="C118" s="16">
        <f t="shared" si="3"/>
        <v>13221</v>
      </c>
      <c r="D118" s="16">
        <f t="shared" si="4"/>
        <v>2776.41</v>
      </c>
      <c r="E118" s="16">
        <f t="shared" si="5"/>
        <v>15997.41</v>
      </c>
    </row>
    <row r="119" spans="1:5" x14ac:dyDescent="0.25">
      <c r="A119" s="9">
        <v>114</v>
      </c>
      <c r="B119">
        <v>118</v>
      </c>
      <c r="C119" s="16">
        <f t="shared" si="3"/>
        <v>13452</v>
      </c>
      <c r="D119" s="16">
        <f t="shared" si="4"/>
        <v>2824.92</v>
      </c>
      <c r="E119" s="16">
        <f t="shared" si="5"/>
        <v>16276.92</v>
      </c>
    </row>
    <row r="120" spans="1:5" x14ac:dyDescent="0.25">
      <c r="A120" s="9">
        <v>115</v>
      </c>
      <c r="B120">
        <v>119</v>
      </c>
      <c r="C120" s="16">
        <f t="shared" si="3"/>
        <v>13685</v>
      </c>
      <c r="D120" s="16">
        <f t="shared" si="4"/>
        <v>2873.85</v>
      </c>
      <c r="E120" s="16">
        <f t="shared" si="5"/>
        <v>16558.849999999999</v>
      </c>
    </row>
    <row r="121" spans="1:5" x14ac:dyDescent="0.25">
      <c r="A121" s="9">
        <v>116</v>
      </c>
      <c r="B121">
        <v>120</v>
      </c>
      <c r="C121" s="16">
        <f t="shared" si="3"/>
        <v>13920</v>
      </c>
      <c r="D121" s="16">
        <f t="shared" si="4"/>
        <v>2923.2</v>
      </c>
      <c r="E121" s="16">
        <f t="shared" si="5"/>
        <v>16843.2</v>
      </c>
    </row>
    <row r="122" spans="1:5" x14ac:dyDescent="0.25">
      <c r="A122" s="9">
        <v>117</v>
      </c>
      <c r="B122">
        <v>121</v>
      </c>
      <c r="C122" s="16">
        <f t="shared" si="3"/>
        <v>14157</v>
      </c>
      <c r="D122" s="16">
        <f t="shared" si="4"/>
        <v>2972.97</v>
      </c>
      <c r="E122" s="16">
        <f t="shared" si="5"/>
        <v>17129.97</v>
      </c>
    </row>
    <row r="123" spans="1:5" x14ac:dyDescent="0.25">
      <c r="A123" s="9">
        <v>118</v>
      </c>
      <c r="B123">
        <v>122</v>
      </c>
      <c r="C123" s="16">
        <f t="shared" si="3"/>
        <v>14396</v>
      </c>
      <c r="D123" s="16">
        <f t="shared" si="4"/>
        <v>3023.16</v>
      </c>
      <c r="E123" s="16">
        <f t="shared" si="5"/>
        <v>17419.16</v>
      </c>
    </row>
    <row r="124" spans="1:5" x14ac:dyDescent="0.25">
      <c r="A124" s="9">
        <v>119</v>
      </c>
      <c r="B124">
        <v>123</v>
      </c>
      <c r="C124" s="16">
        <f t="shared" si="3"/>
        <v>14637</v>
      </c>
      <c r="D124" s="16">
        <f t="shared" si="4"/>
        <v>3073.77</v>
      </c>
      <c r="E124" s="16">
        <f t="shared" si="5"/>
        <v>17710.77</v>
      </c>
    </row>
    <row r="125" spans="1:5" x14ac:dyDescent="0.25">
      <c r="A125" s="9">
        <v>120</v>
      </c>
      <c r="B125">
        <v>124</v>
      </c>
      <c r="C125" s="16">
        <f t="shared" si="3"/>
        <v>14880</v>
      </c>
      <c r="D125" s="16">
        <f t="shared" si="4"/>
        <v>3124.7999999999997</v>
      </c>
      <c r="E125" s="16">
        <f t="shared" si="5"/>
        <v>18004.8</v>
      </c>
    </row>
    <row r="126" spans="1:5" x14ac:dyDescent="0.25">
      <c r="A126" s="9">
        <v>121</v>
      </c>
      <c r="B126">
        <v>125</v>
      </c>
      <c r="C126" s="16">
        <f t="shared" si="3"/>
        <v>15125</v>
      </c>
      <c r="D126" s="16">
        <f t="shared" si="4"/>
        <v>3176.25</v>
      </c>
      <c r="E126" s="16">
        <f t="shared" si="5"/>
        <v>18301.25</v>
      </c>
    </row>
    <row r="127" spans="1:5" x14ac:dyDescent="0.25">
      <c r="A127" s="9">
        <v>122</v>
      </c>
      <c r="B127">
        <v>126</v>
      </c>
      <c r="C127" s="16">
        <f t="shared" si="3"/>
        <v>15372</v>
      </c>
      <c r="D127" s="16">
        <f t="shared" si="4"/>
        <v>3228.12</v>
      </c>
      <c r="E127" s="16">
        <f t="shared" si="5"/>
        <v>18600.12</v>
      </c>
    </row>
    <row r="128" spans="1:5" x14ac:dyDescent="0.25">
      <c r="A128" s="9">
        <v>123</v>
      </c>
      <c r="B128">
        <v>127</v>
      </c>
      <c r="C128" s="16">
        <f t="shared" si="3"/>
        <v>15621</v>
      </c>
      <c r="D128" s="16">
        <f t="shared" si="4"/>
        <v>3280.41</v>
      </c>
      <c r="E128" s="16">
        <f t="shared" si="5"/>
        <v>18901.41</v>
      </c>
    </row>
    <row r="129" spans="1:5" x14ac:dyDescent="0.25">
      <c r="A129" s="9">
        <v>124</v>
      </c>
      <c r="B129">
        <v>128</v>
      </c>
      <c r="C129" s="16">
        <f t="shared" si="3"/>
        <v>15872</v>
      </c>
      <c r="D129" s="16">
        <f t="shared" si="4"/>
        <v>3333.12</v>
      </c>
      <c r="E129" s="16">
        <f t="shared" si="5"/>
        <v>19205.12</v>
      </c>
    </row>
    <row r="130" spans="1:5" x14ac:dyDescent="0.25">
      <c r="A130" s="9">
        <v>125</v>
      </c>
      <c r="B130">
        <v>129</v>
      </c>
      <c r="C130" s="16">
        <f t="shared" ref="C130:C193" si="6">A130*B130</f>
        <v>16125</v>
      </c>
      <c r="D130" s="16">
        <f t="shared" ref="D130:D193" si="7">C130* 0.21</f>
        <v>3386.25</v>
      </c>
      <c r="E130" s="16">
        <f t="shared" ref="E130:E193" si="8">C130+D130</f>
        <v>19511.25</v>
      </c>
    </row>
    <row r="131" spans="1:5" x14ac:dyDescent="0.25">
      <c r="A131" s="9">
        <v>126</v>
      </c>
      <c r="B131">
        <v>130</v>
      </c>
      <c r="C131" s="16">
        <f t="shared" si="6"/>
        <v>16380</v>
      </c>
      <c r="D131" s="16">
        <f t="shared" si="7"/>
        <v>3439.7999999999997</v>
      </c>
      <c r="E131" s="16">
        <f t="shared" si="8"/>
        <v>19819.8</v>
      </c>
    </row>
    <row r="132" spans="1:5" x14ac:dyDescent="0.25">
      <c r="A132" s="9">
        <v>127</v>
      </c>
      <c r="B132">
        <v>131</v>
      </c>
      <c r="C132" s="16">
        <f t="shared" si="6"/>
        <v>16637</v>
      </c>
      <c r="D132" s="16">
        <f t="shared" si="7"/>
        <v>3493.77</v>
      </c>
      <c r="E132" s="16">
        <f t="shared" si="8"/>
        <v>20130.77</v>
      </c>
    </row>
    <row r="133" spans="1:5" x14ac:dyDescent="0.25">
      <c r="A133" s="9">
        <v>128</v>
      </c>
      <c r="B133">
        <v>132</v>
      </c>
      <c r="C133" s="16">
        <f t="shared" si="6"/>
        <v>16896</v>
      </c>
      <c r="D133" s="16">
        <f t="shared" si="7"/>
        <v>3548.16</v>
      </c>
      <c r="E133" s="16">
        <f t="shared" si="8"/>
        <v>20444.16</v>
      </c>
    </row>
    <row r="134" spans="1:5" x14ac:dyDescent="0.25">
      <c r="A134" s="9">
        <v>129</v>
      </c>
      <c r="B134">
        <v>133</v>
      </c>
      <c r="C134" s="16">
        <f t="shared" si="6"/>
        <v>17157</v>
      </c>
      <c r="D134" s="16">
        <f t="shared" si="7"/>
        <v>3602.97</v>
      </c>
      <c r="E134" s="16">
        <f t="shared" si="8"/>
        <v>20759.97</v>
      </c>
    </row>
    <row r="135" spans="1:5" x14ac:dyDescent="0.25">
      <c r="A135" s="9">
        <v>130</v>
      </c>
      <c r="B135">
        <v>134</v>
      </c>
      <c r="C135" s="16">
        <f t="shared" si="6"/>
        <v>17420</v>
      </c>
      <c r="D135" s="16">
        <f t="shared" si="7"/>
        <v>3658.2</v>
      </c>
      <c r="E135" s="16">
        <f t="shared" si="8"/>
        <v>21078.2</v>
      </c>
    </row>
    <row r="136" spans="1:5" x14ac:dyDescent="0.25">
      <c r="A136" s="9">
        <v>131</v>
      </c>
      <c r="B136">
        <v>135</v>
      </c>
      <c r="C136" s="16">
        <f t="shared" si="6"/>
        <v>17685</v>
      </c>
      <c r="D136" s="16">
        <f t="shared" si="7"/>
        <v>3713.85</v>
      </c>
      <c r="E136" s="16">
        <f t="shared" si="8"/>
        <v>21398.85</v>
      </c>
    </row>
    <row r="137" spans="1:5" x14ac:dyDescent="0.25">
      <c r="A137" s="9">
        <v>132</v>
      </c>
      <c r="B137">
        <v>136</v>
      </c>
      <c r="C137" s="16">
        <f t="shared" si="6"/>
        <v>17952</v>
      </c>
      <c r="D137" s="16">
        <f t="shared" si="7"/>
        <v>3769.92</v>
      </c>
      <c r="E137" s="16">
        <f t="shared" si="8"/>
        <v>21721.919999999998</v>
      </c>
    </row>
    <row r="138" spans="1:5" x14ac:dyDescent="0.25">
      <c r="A138" s="9">
        <v>133</v>
      </c>
      <c r="B138">
        <v>137</v>
      </c>
      <c r="C138" s="16">
        <f t="shared" si="6"/>
        <v>18221</v>
      </c>
      <c r="D138" s="16">
        <f t="shared" si="7"/>
        <v>3826.41</v>
      </c>
      <c r="E138" s="16">
        <f t="shared" si="8"/>
        <v>22047.41</v>
      </c>
    </row>
    <row r="139" spans="1:5" x14ac:dyDescent="0.25">
      <c r="A139" s="9">
        <v>134</v>
      </c>
      <c r="B139">
        <v>138</v>
      </c>
      <c r="C139" s="16">
        <f t="shared" si="6"/>
        <v>18492</v>
      </c>
      <c r="D139" s="16">
        <f t="shared" si="7"/>
        <v>3883.3199999999997</v>
      </c>
      <c r="E139" s="16">
        <f t="shared" si="8"/>
        <v>22375.32</v>
      </c>
    </row>
    <row r="140" spans="1:5" x14ac:dyDescent="0.25">
      <c r="A140" s="9">
        <v>135</v>
      </c>
      <c r="B140">
        <v>139</v>
      </c>
      <c r="C140" s="16">
        <f t="shared" si="6"/>
        <v>18765</v>
      </c>
      <c r="D140" s="16">
        <f t="shared" si="7"/>
        <v>3940.6499999999996</v>
      </c>
      <c r="E140" s="16">
        <f t="shared" si="8"/>
        <v>22705.65</v>
      </c>
    </row>
    <row r="141" spans="1:5" x14ac:dyDescent="0.25">
      <c r="A141" s="9">
        <v>136</v>
      </c>
      <c r="B141">
        <v>140</v>
      </c>
      <c r="C141" s="16">
        <f t="shared" si="6"/>
        <v>19040</v>
      </c>
      <c r="D141" s="16">
        <f t="shared" si="7"/>
        <v>3998.3999999999996</v>
      </c>
      <c r="E141" s="16">
        <f t="shared" si="8"/>
        <v>23038.400000000001</v>
      </c>
    </row>
    <row r="142" spans="1:5" x14ac:dyDescent="0.25">
      <c r="A142" s="9">
        <v>137</v>
      </c>
      <c r="B142">
        <v>141</v>
      </c>
      <c r="C142" s="16">
        <f t="shared" si="6"/>
        <v>19317</v>
      </c>
      <c r="D142" s="16">
        <f t="shared" si="7"/>
        <v>4056.5699999999997</v>
      </c>
      <c r="E142" s="16">
        <f t="shared" si="8"/>
        <v>23373.57</v>
      </c>
    </row>
    <row r="143" spans="1:5" x14ac:dyDescent="0.25">
      <c r="A143" s="9">
        <v>138</v>
      </c>
      <c r="B143">
        <v>142</v>
      </c>
      <c r="C143" s="16">
        <f t="shared" si="6"/>
        <v>19596</v>
      </c>
      <c r="D143" s="16">
        <f t="shared" si="7"/>
        <v>4115.16</v>
      </c>
      <c r="E143" s="16">
        <f t="shared" si="8"/>
        <v>23711.16</v>
      </c>
    </row>
    <row r="144" spans="1:5" x14ac:dyDescent="0.25">
      <c r="A144" s="9">
        <v>139</v>
      </c>
      <c r="B144">
        <v>143</v>
      </c>
      <c r="C144" s="16">
        <f t="shared" si="6"/>
        <v>19877</v>
      </c>
      <c r="D144" s="16">
        <f t="shared" si="7"/>
        <v>4174.17</v>
      </c>
      <c r="E144" s="16">
        <f t="shared" si="8"/>
        <v>24051.17</v>
      </c>
    </row>
    <row r="145" spans="1:5" x14ac:dyDescent="0.25">
      <c r="A145" s="9">
        <v>140</v>
      </c>
      <c r="B145">
        <v>144</v>
      </c>
      <c r="C145" s="16">
        <f t="shared" si="6"/>
        <v>20160</v>
      </c>
      <c r="D145" s="16">
        <f t="shared" si="7"/>
        <v>4233.5999999999995</v>
      </c>
      <c r="E145" s="16">
        <f t="shared" si="8"/>
        <v>24393.599999999999</v>
      </c>
    </row>
    <row r="146" spans="1:5" x14ac:dyDescent="0.25">
      <c r="A146" s="9">
        <v>141</v>
      </c>
      <c r="B146">
        <v>145</v>
      </c>
      <c r="C146" s="16">
        <f t="shared" si="6"/>
        <v>20445</v>
      </c>
      <c r="D146" s="16">
        <f t="shared" si="7"/>
        <v>4293.45</v>
      </c>
      <c r="E146" s="16">
        <f t="shared" si="8"/>
        <v>24738.45</v>
      </c>
    </row>
    <row r="147" spans="1:5" x14ac:dyDescent="0.25">
      <c r="A147" s="9">
        <v>142</v>
      </c>
      <c r="B147">
        <v>146</v>
      </c>
      <c r="C147" s="16">
        <f t="shared" si="6"/>
        <v>20732</v>
      </c>
      <c r="D147" s="16">
        <f t="shared" si="7"/>
        <v>4353.72</v>
      </c>
      <c r="E147" s="16">
        <f t="shared" si="8"/>
        <v>25085.72</v>
      </c>
    </row>
    <row r="148" spans="1:5" x14ac:dyDescent="0.25">
      <c r="A148" s="9">
        <v>143</v>
      </c>
      <c r="B148">
        <v>147</v>
      </c>
      <c r="C148" s="16">
        <f t="shared" si="6"/>
        <v>21021</v>
      </c>
      <c r="D148" s="16">
        <f t="shared" si="7"/>
        <v>4414.41</v>
      </c>
      <c r="E148" s="16">
        <f t="shared" si="8"/>
        <v>25435.41</v>
      </c>
    </row>
    <row r="149" spans="1:5" x14ac:dyDescent="0.25">
      <c r="A149" s="9">
        <v>144</v>
      </c>
      <c r="B149">
        <v>148</v>
      </c>
      <c r="C149" s="16">
        <f t="shared" si="6"/>
        <v>21312</v>
      </c>
      <c r="D149" s="16">
        <f t="shared" si="7"/>
        <v>4475.5199999999995</v>
      </c>
      <c r="E149" s="16">
        <f t="shared" si="8"/>
        <v>25787.52</v>
      </c>
    </row>
    <row r="150" spans="1:5" x14ac:dyDescent="0.25">
      <c r="A150" s="9">
        <v>145</v>
      </c>
      <c r="B150">
        <v>149</v>
      </c>
      <c r="C150" s="16">
        <f t="shared" si="6"/>
        <v>21605</v>
      </c>
      <c r="D150" s="16">
        <f t="shared" si="7"/>
        <v>4537.05</v>
      </c>
      <c r="E150" s="16">
        <f t="shared" si="8"/>
        <v>26142.05</v>
      </c>
    </row>
    <row r="151" spans="1:5" x14ac:dyDescent="0.25">
      <c r="A151" s="9">
        <v>146</v>
      </c>
      <c r="B151">
        <v>150</v>
      </c>
      <c r="C151" s="16">
        <f t="shared" si="6"/>
        <v>21900</v>
      </c>
      <c r="D151" s="16">
        <f t="shared" si="7"/>
        <v>4599</v>
      </c>
      <c r="E151" s="16">
        <f t="shared" si="8"/>
        <v>26499</v>
      </c>
    </row>
    <row r="152" spans="1:5" x14ac:dyDescent="0.25">
      <c r="A152" s="9">
        <v>147</v>
      </c>
      <c r="B152">
        <v>151</v>
      </c>
      <c r="C152" s="16">
        <f t="shared" si="6"/>
        <v>22197</v>
      </c>
      <c r="D152" s="16">
        <f t="shared" si="7"/>
        <v>4661.37</v>
      </c>
      <c r="E152" s="16">
        <f t="shared" si="8"/>
        <v>26858.37</v>
      </c>
    </row>
    <row r="153" spans="1:5" x14ac:dyDescent="0.25">
      <c r="A153" s="9">
        <v>148</v>
      </c>
      <c r="B153">
        <v>152</v>
      </c>
      <c r="C153" s="16">
        <f t="shared" si="6"/>
        <v>22496</v>
      </c>
      <c r="D153" s="16">
        <f t="shared" si="7"/>
        <v>4724.16</v>
      </c>
      <c r="E153" s="16">
        <f t="shared" si="8"/>
        <v>27220.16</v>
      </c>
    </row>
    <row r="154" spans="1:5" x14ac:dyDescent="0.25">
      <c r="A154" s="9">
        <v>149</v>
      </c>
      <c r="B154">
        <v>153</v>
      </c>
      <c r="C154" s="16">
        <f t="shared" si="6"/>
        <v>22797</v>
      </c>
      <c r="D154" s="16">
        <f t="shared" si="7"/>
        <v>4787.37</v>
      </c>
      <c r="E154" s="16">
        <f t="shared" si="8"/>
        <v>27584.37</v>
      </c>
    </row>
    <row r="155" spans="1:5" x14ac:dyDescent="0.25">
      <c r="A155" s="9">
        <v>150</v>
      </c>
      <c r="B155">
        <v>154</v>
      </c>
      <c r="C155" s="16">
        <f t="shared" si="6"/>
        <v>23100</v>
      </c>
      <c r="D155" s="16">
        <f t="shared" si="7"/>
        <v>4851</v>
      </c>
      <c r="E155" s="16">
        <f t="shared" si="8"/>
        <v>27951</v>
      </c>
    </row>
    <row r="156" spans="1:5" x14ac:dyDescent="0.25">
      <c r="A156" s="9">
        <v>151</v>
      </c>
      <c r="B156">
        <v>155</v>
      </c>
      <c r="C156" s="16">
        <f t="shared" si="6"/>
        <v>23405</v>
      </c>
      <c r="D156" s="16">
        <f t="shared" si="7"/>
        <v>4915.05</v>
      </c>
      <c r="E156" s="16">
        <f t="shared" si="8"/>
        <v>28320.05</v>
      </c>
    </row>
    <row r="157" spans="1:5" x14ac:dyDescent="0.25">
      <c r="A157" s="9">
        <v>152</v>
      </c>
      <c r="B157">
        <v>156</v>
      </c>
      <c r="C157" s="16">
        <f t="shared" si="6"/>
        <v>23712</v>
      </c>
      <c r="D157" s="16">
        <f t="shared" si="7"/>
        <v>4979.5199999999995</v>
      </c>
      <c r="E157" s="16">
        <f t="shared" si="8"/>
        <v>28691.52</v>
      </c>
    </row>
    <row r="158" spans="1:5" x14ac:dyDescent="0.25">
      <c r="A158" s="9">
        <v>153</v>
      </c>
      <c r="B158">
        <v>157</v>
      </c>
      <c r="C158" s="16">
        <f t="shared" si="6"/>
        <v>24021</v>
      </c>
      <c r="D158" s="16">
        <f t="shared" si="7"/>
        <v>5044.41</v>
      </c>
      <c r="E158" s="16">
        <f t="shared" si="8"/>
        <v>29065.41</v>
      </c>
    </row>
    <row r="159" spans="1:5" x14ac:dyDescent="0.25">
      <c r="A159" s="9">
        <v>154</v>
      </c>
      <c r="B159">
        <v>158</v>
      </c>
      <c r="C159" s="16">
        <f t="shared" si="6"/>
        <v>24332</v>
      </c>
      <c r="D159" s="16">
        <f t="shared" si="7"/>
        <v>5109.72</v>
      </c>
      <c r="E159" s="16">
        <f t="shared" si="8"/>
        <v>29441.72</v>
      </c>
    </row>
    <row r="160" spans="1:5" x14ac:dyDescent="0.25">
      <c r="A160" s="9">
        <v>155</v>
      </c>
      <c r="B160">
        <v>159</v>
      </c>
      <c r="C160" s="16">
        <f t="shared" si="6"/>
        <v>24645</v>
      </c>
      <c r="D160" s="16">
        <f t="shared" si="7"/>
        <v>5175.45</v>
      </c>
      <c r="E160" s="16">
        <f t="shared" si="8"/>
        <v>29820.45</v>
      </c>
    </row>
    <row r="161" spans="1:5" x14ac:dyDescent="0.25">
      <c r="A161" s="9">
        <v>156</v>
      </c>
      <c r="B161">
        <v>160</v>
      </c>
      <c r="C161" s="16">
        <f t="shared" si="6"/>
        <v>24960</v>
      </c>
      <c r="D161" s="16">
        <f t="shared" si="7"/>
        <v>5241.5999999999995</v>
      </c>
      <c r="E161" s="16">
        <f t="shared" si="8"/>
        <v>30201.599999999999</v>
      </c>
    </row>
    <row r="162" spans="1:5" x14ac:dyDescent="0.25">
      <c r="A162" s="9">
        <v>157</v>
      </c>
      <c r="B162">
        <v>161</v>
      </c>
      <c r="C162" s="16">
        <f t="shared" si="6"/>
        <v>25277</v>
      </c>
      <c r="D162" s="16">
        <f t="shared" si="7"/>
        <v>5308.17</v>
      </c>
      <c r="E162" s="16">
        <f t="shared" si="8"/>
        <v>30585.17</v>
      </c>
    </row>
    <row r="163" spans="1:5" x14ac:dyDescent="0.25">
      <c r="A163" s="9">
        <v>158</v>
      </c>
      <c r="B163">
        <v>162</v>
      </c>
      <c r="C163" s="16">
        <f t="shared" si="6"/>
        <v>25596</v>
      </c>
      <c r="D163" s="16">
        <f t="shared" si="7"/>
        <v>5375.16</v>
      </c>
      <c r="E163" s="16">
        <f t="shared" si="8"/>
        <v>30971.16</v>
      </c>
    </row>
    <row r="164" spans="1:5" x14ac:dyDescent="0.25">
      <c r="A164" s="9">
        <v>159</v>
      </c>
      <c r="B164">
        <v>163</v>
      </c>
      <c r="C164" s="16">
        <f t="shared" si="6"/>
        <v>25917</v>
      </c>
      <c r="D164" s="16">
        <f t="shared" si="7"/>
        <v>5442.57</v>
      </c>
      <c r="E164" s="16">
        <f t="shared" si="8"/>
        <v>31359.57</v>
      </c>
    </row>
    <row r="165" spans="1:5" x14ac:dyDescent="0.25">
      <c r="A165" s="9">
        <v>160</v>
      </c>
      <c r="B165">
        <v>164</v>
      </c>
      <c r="C165" s="16">
        <f t="shared" si="6"/>
        <v>26240</v>
      </c>
      <c r="D165" s="16">
        <f t="shared" si="7"/>
        <v>5510.4</v>
      </c>
      <c r="E165" s="16">
        <f t="shared" si="8"/>
        <v>31750.400000000001</v>
      </c>
    </row>
    <row r="166" spans="1:5" x14ac:dyDescent="0.25">
      <c r="A166" s="9">
        <v>161</v>
      </c>
      <c r="B166">
        <v>165</v>
      </c>
      <c r="C166" s="16">
        <f t="shared" si="6"/>
        <v>26565</v>
      </c>
      <c r="D166" s="16">
        <f t="shared" si="7"/>
        <v>5578.65</v>
      </c>
      <c r="E166" s="16">
        <f t="shared" si="8"/>
        <v>32143.65</v>
      </c>
    </row>
    <row r="167" spans="1:5" x14ac:dyDescent="0.25">
      <c r="A167" s="9">
        <v>162</v>
      </c>
      <c r="B167">
        <v>166</v>
      </c>
      <c r="C167" s="16">
        <f t="shared" si="6"/>
        <v>26892</v>
      </c>
      <c r="D167" s="16">
        <f t="shared" si="7"/>
        <v>5647.32</v>
      </c>
      <c r="E167" s="16">
        <f t="shared" si="8"/>
        <v>32539.32</v>
      </c>
    </row>
    <row r="168" spans="1:5" x14ac:dyDescent="0.25">
      <c r="A168" s="9">
        <v>163</v>
      </c>
      <c r="B168">
        <v>167</v>
      </c>
      <c r="C168" s="16">
        <f t="shared" si="6"/>
        <v>27221</v>
      </c>
      <c r="D168" s="16">
        <f t="shared" si="7"/>
        <v>5716.41</v>
      </c>
      <c r="E168" s="16">
        <f t="shared" si="8"/>
        <v>32937.410000000003</v>
      </c>
    </row>
    <row r="169" spans="1:5" x14ac:dyDescent="0.25">
      <c r="A169" s="9">
        <v>164</v>
      </c>
      <c r="B169">
        <v>168</v>
      </c>
      <c r="C169" s="16">
        <f t="shared" si="6"/>
        <v>27552</v>
      </c>
      <c r="D169" s="16">
        <f t="shared" si="7"/>
        <v>5785.92</v>
      </c>
      <c r="E169" s="16">
        <f t="shared" si="8"/>
        <v>33337.919999999998</v>
      </c>
    </row>
    <row r="170" spans="1:5" x14ac:dyDescent="0.25">
      <c r="A170" s="9">
        <v>165</v>
      </c>
      <c r="B170">
        <v>169</v>
      </c>
      <c r="C170" s="16">
        <f t="shared" si="6"/>
        <v>27885</v>
      </c>
      <c r="D170" s="16">
        <f t="shared" si="7"/>
        <v>5855.8499999999995</v>
      </c>
      <c r="E170" s="16">
        <f t="shared" si="8"/>
        <v>33740.85</v>
      </c>
    </row>
    <row r="171" spans="1:5" x14ac:dyDescent="0.25">
      <c r="A171" s="9">
        <v>166</v>
      </c>
      <c r="B171">
        <v>170</v>
      </c>
      <c r="C171" s="16">
        <f t="shared" si="6"/>
        <v>28220</v>
      </c>
      <c r="D171" s="16">
        <f t="shared" si="7"/>
        <v>5926.2</v>
      </c>
      <c r="E171" s="16">
        <f t="shared" si="8"/>
        <v>34146.199999999997</v>
      </c>
    </row>
    <row r="172" spans="1:5" x14ac:dyDescent="0.25">
      <c r="A172" s="9">
        <v>167</v>
      </c>
      <c r="B172">
        <v>171</v>
      </c>
      <c r="C172" s="16">
        <f t="shared" si="6"/>
        <v>28557</v>
      </c>
      <c r="D172" s="16">
        <f t="shared" si="7"/>
        <v>5996.9699999999993</v>
      </c>
      <c r="E172" s="16">
        <f t="shared" si="8"/>
        <v>34553.97</v>
      </c>
    </row>
    <row r="173" spans="1:5" x14ac:dyDescent="0.25">
      <c r="A173" s="9">
        <v>168</v>
      </c>
      <c r="B173">
        <v>172</v>
      </c>
      <c r="C173" s="16">
        <f t="shared" si="6"/>
        <v>28896</v>
      </c>
      <c r="D173" s="16">
        <f t="shared" si="7"/>
        <v>6068.16</v>
      </c>
      <c r="E173" s="16">
        <f t="shared" si="8"/>
        <v>34964.160000000003</v>
      </c>
    </row>
    <row r="174" spans="1:5" x14ac:dyDescent="0.25">
      <c r="A174" s="9">
        <v>169</v>
      </c>
      <c r="B174">
        <v>173</v>
      </c>
      <c r="C174" s="16">
        <f t="shared" si="6"/>
        <v>29237</v>
      </c>
      <c r="D174" s="16">
        <f t="shared" si="7"/>
        <v>6139.7699999999995</v>
      </c>
      <c r="E174" s="16">
        <f t="shared" si="8"/>
        <v>35376.769999999997</v>
      </c>
    </row>
    <row r="175" spans="1:5" x14ac:dyDescent="0.25">
      <c r="A175" s="9">
        <v>170</v>
      </c>
      <c r="B175">
        <v>174</v>
      </c>
      <c r="C175" s="16">
        <f t="shared" si="6"/>
        <v>29580</v>
      </c>
      <c r="D175" s="16">
        <f t="shared" si="7"/>
        <v>6211.8</v>
      </c>
      <c r="E175" s="16">
        <f t="shared" si="8"/>
        <v>35791.800000000003</v>
      </c>
    </row>
    <row r="176" spans="1:5" x14ac:dyDescent="0.25">
      <c r="A176" s="9">
        <v>171</v>
      </c>
      <c r="B176">
        <v>175</v>
      </c>
      <c r="C176" s="16">
        <f t="shared" si="6"/>
        <v>29925</v>
      </c>
      <c r="D176" s="16">
        <f t="shared" si="7"/>
        <v>6284.25</v>
      </c>
      <c r="E176" s="16">
        <f t="shared" si="8"/>
        <v>36209.25</v>
      </c>
    </row>
    <row r="177" spans="1:5" x14ac:dyDescent="0.25">
      <c r="A177" s="9">
        <v>172</v>
      </c>
      <c r="B177">
        <v>176</v>
      </c>
      <c r="C177" s="16">
        <f t="shared" si="6"/>
        <v>30272</v>
      </c>
      <c r="D177" s="16">
        <f t="shared" si="7"/>
        <v>6357.12</v>
      </c>
      <c r="E177" s="16">
        <f t="shared" si="8"/>
        <v>36629.120000000003</v>
      </c>
    </row>
    <row r="178" spans="1:5" x14ac:dyDescent="0.25">
      <c r="A178" s="9">
        <v>173</v>
      </c>
      <c r="B178">
        <v>177</v>
      </c>
      <c r="C178" s="16">
        <f t="shared" si="6"/>
        <v>30621</v>
      </c>
      <c r="D178" s="16">
        <f t="shared" si="7"/>
        <v>6430.41</v>
      </c>
      <c r="E178" s="16">
        <f t="shared" si="8"/>
        <v>37051.410000000003</v>
      </c>
    </row>
    <row r="179" spans="1:5" x14ac:dyDescent="0.25">
      <c r="A179" s="9">
        <v>174</v>
      </c>
      <c r="B179">
        <v>178</v>
      </c>
      <c r="C179" s="16">
        <f t="shared" si="6"/>
        <v>30972</v>
      </c>
      <c r="D179" s="16">
        <f t="shared" si="7"/>
        <v>6504.12</v>
      </c>
      <c r="E179" s="16">
        <f t="shared" si="8"/>
        <v>37476.120000000003</v>
      </c>
    </row>
    <row r="180" spans="1:5" x14ac:dyDescent="0.25">
      <c r="A180" s="9">
        <v>175</v>
      </c>
      <c r="B180">
        <v>179</v>
      </c>
      <c r="C180" s="16">
        <f t="shared" si="6"/>
        <v>31325</v>
      </c>
      <c r="D180" s="16">
        <f t="shared" si="7"/>
        <v>6578.25</v>
      </c>
      <c r="E180" s="16">
        <f t="shared" si="8"/>
        <v>37903.25</v>
      </c>
    </row>
    <row r="181" spans="1:5" x14ac:dyDescent="0.25">
      <c r="A181" s="9">
        <v>176</v>
      </c>
      <c r="B181">
        <v>180</v>
      </c>
      <c r="C181" s="16">
        <f t="shared" si="6"/>
        <v>31680</v>
      </c>
      <c r="D181" s="16">
        <f t="shared" si="7"/>
        <v>6652.8</v>
      </c>
      <c r="E181" s="16">
        <f t="shared" si="8"/>
        <v>38332.800000000003</v>
      </c>
    </row>
    <row r="182" spans="1:5" x14ac:dyDescent="0.25">
      <c r="A182" s="9">
        <v>177</v>
      </c>
      <c r="B182">
        <v>181</v>
      </c>
      <c r="C182" s="16">
        <f t="shared" si="6"/>
        <v>32037</v>
      </c>
      <c r="D182" s="16">
        <f t="shared" si="7"/>
        <v>6727.7699999999995</v>
      </c>
      <c r="E182" s="16">
        <f t="shared" si="8"/>
        <v>38764.769999999997</v>
      </c>
    </row>
    <row r="183" spans="1:5" x14ac:dyDescent="0.25">
      <c r="A183" s="9">
        <v>178</v>
      </c>
      <c r="B183">
        <v>182</v>
      </c>
      <c r="C183" s="16">
        <f t="shared" si="6"/>
        <v>32396</v>
      </c>
      <c r="D183" s="16">
        <f t="shared" si="7"/>
        <v>6803.16</v>
      </c>
      <c r="E183" s="16">
        <f t="shared" si="8"/>
        <v>39199.160000000003</v>
      </c>
    </row>
    <row r="184" spans="1:5" x14ac:dyDescent="0.25">
      <c r="A184" s="9">
        <v>179</v>
      </c>
      <c r="B184">
        <v>183</v>
      </c>
      <c r="C184" s="16">
        <f t="shared" si="6"/>
        <v>32757</v>
      </c>
      <c r="D184" s="16">
        <f t="shared" si="7"/>
        <v>6878.9699999999993</v>
      </c>
      <c r="E184" s="16">
        <f t="shared" si="8"/>
        <v>39635.97</v>
      </c>
    </row>
    <row r="185" spans="1:5" x14ac:dyDescent="0.25">
      <c r="A185" s="9">
        <v>180</v>
      </c>
      <c r="B185">
        <v>184</v>
      </c>
      <c r="C185" s="16">
        <f t="shared" si="6"/>
        <v>33120</v>
      </c>
      <c r="D185" s="16">
        <f t="shared" si="7"/>
        <v>6955.2</v>
      </c>
      <c r="E185" s="16">
        <f t="shared" si="8"/>
        <v>40075.199999999997</v>
      </c>
    </row>
    <row r="186" spans="1:5" x14ac:dyDescent="0.25">
      <c r="A186" s="9">
        <v>181</v>
      </c>
      <c r="B186">
        <v>185</v>
      </c>
      <c r="C186" s="16">
        <f t="shared" si="6"/>
        <v>33485</v>
      </c>
      <c r="D186" s="16">
        <f t="shared" si="7"/>
        <v>7031.8499999999995</v>
      </c>
      <c r="E186" s="16">
        <f t="shared" si="8"/>
        <v>40516.85</v>
      </c>
    </row>
    <row r="187" spans="1:5" x14ac:dyDescent="0.25">
      <c r="A187" s="9">
        <v>182</v>
      </c>
      <c r="B187">
        <v>186</v>
      </c>
      <c r="C187" s="16">
        <f t="shared" si="6"/>
        <v>33852</v>
      </c>
      <c r="D187" s="16">
        <f t="shared" si="7"/>
        <v>7108.92</v>
      </c>
      <c r="E187" s="16">
        <f t="shared" si="8"/>
        <v>40960.92</v>
      </c>
    </row>
    <row r="188" spans="1:5" x14ac:dyDescent="0.25">
      <c r="A188" s="9">
        <v>183</v>
      </c>
      <c r="B188">
        <v>187</v>
      </c>
      <c r="C188" s="16">
        <f t="shared" si="6"/>
        <v>34221</v>
      </c>
      <c r="D188" s="16">
        <f t="shared" si="7"/>
        <v>7186.41</v>
      </c>
      <c r="E188" s="16">
        <f t="shared" si="8"/>
        <v>41407.410000000003</v>
      </c>
    </row>
    <row r="189" spans="1:5" x14ac:dyDescent="0.25">
      <c r="A189" s="9">
        <v>184</v>
      </c>
      <c r="B189">
        <v>188</v>
      </c>
      <c r="C189" s="16">
        <f t="shared" si="6"/>
        <v>34592</v>
      </c>
      <c r="D189" s="16">
        <f t="shared" si="7"/>
        <v>7264.32</v>
      </c>
      <c r="E189" s="16">
        <f t="shared" si="8"/>
        <v>41856.32</v>
      </c>
    </row>
    <row r="190" spans="1:5" x14ac:dyDescent="0.25">
      <c r="A190" s="9">
        <v>185</v>
      </c>
      <c r="B190">
        <v>189</v>
      </c>
      <c r="C190" s="16">
        <f t="shared" si="6"/>
        <v>34965</v>
      </c>
      <c r="D190" s="16">
        <f t="shared" si="7"/>
        <v>7342.65</v>
      </c>
      <c r="E190" s="16">
        <f t="shared" si="8"/>
        <v>42307.65</v>
      </c>
    </row>
    <row r="191" spans="1:5" x14ac:dyDescent="0.25">
      <c r="A191" s="9">
        <v>186</v>
      </c>
      <c r="B191">
        <v>190</v>
      </c>
      <c r="C191" s="16">
        <f t="shared" si="6"/>
        <v>35340</v>
      </c>
      <c r="D191" s="16">
        <f t="shared" si="7"/>
        <v>7421.4</v>
      </c>
      <c r="E191" s="16">
        <f t="shared" si="8"/>
        <v>42761.4</v>
      </c>
    </row>
    <row r="192" spans="1:5" x14ac:dyDescent="0.25">
      <c r="A192" s="9">
        <v>187</v>
      </c>
      <c r="B192">
        <v>191</v>
      </c>
      <c r="C192" s="16">
        <f t="shared" si="6"/>
        <v>35717</v>
      </c>
      <c r="D192" s="16">
        <f t="shared" si="7"/>
        <v>7500.57</v>
      </c>
      <c r="E192" s="16">
        <f t="shared" si="8"/>
        <v>43217.57</v>
      </c>
    </row>
    <row r="193" spans="1:5" x14ac:dyDescent="0.25">
      <c r="A193" s="9">
        <v>188</v>
      </c>
      <c r="B193">
        <v>192</v>
      </c>
      <c r="C193" s="16">
        <f t="shared" si="6"/>
        <v>36096</v>
      </c>
      <c r="D193" s="16">
        <f t="shared" si="7"/>
        <v>7580.16</v>
      </c>
      <c r="E193" s="16">
        <f t="shared" si="8"/>
        <v>43676.160000000003</v>
      </c>
    </row>
    <row r="194" spans="1:5" x14ac:dyDescent="0.25">
      <c r="A194" s="9">
        <v>189</v>
      </c>
      <c r="B194">
        <v>193</v>
      </c>
      <c r="C194" s="16">
        <f t="shared" ref="C194:C257" si="9">A194*B194</f>
        <v>36477</v>
      </c>
      <c r="D194" s="16">
        <f t="shared" ref="D194:D257" si="10">C194* 0.21</f>
        <v>7660.17</v>
      </c>
      <c r="E194" s="16">
        <f t="shared" ref="E194:E257" si="11">C194+D194</f>
        <v>44137.17</v>
      </c>
    </row>
    <row r="195" spans="1:5" x14ac:dyDescent="0.25">
      <c r="A195" s="9">
        <v>190</v>
      </c>
      <c r="B195">
        <v>194</v>
      </c>
      <c r="C195" s="16">
        <f t="shared" si="9"/>
        <v>36860</v>
      </c>
      <c r="D195" s="16">
        <f t="shared" si="10"/>
        <v>7740.5999999999995</v>
      </c>
      <c r="E195" s="16">
        <f t="shared" si="11"/>
        <v>44600.6</v>
      </c>
    </row>
    <row r="196" spans="1:5" x14ac:dyDescent="0.25">
      <c r="A196" s="9">
        <v>191</v>
      </c>
      <c r="B196">
        <v>195</v>
      </c>
      <c r="C196" s="16">
        <f t="shared" si="9"/>
        <v>37245</v>
      </c>
      <c r="D196" s="16">
        <f t="shared" si="10"/>
        <v>7821.45</v>
      </c>
      <c r="E196" s="16">
        <f t="shared" si="11"/>
        <v>45066.45</v>
      </c>
    </row>
    <row r="197" spans="1:5" x14ac:dyDescent="0.25">
      <c r="A197" s="9">
        <v>192</v>
      </c>
      <c r="B197">
        <v>196</v>
      </c>
      <c r="C197" s="16">
        <f t="shared" si="9"/>
        <v>37632</v>
      </c>
      <c r="D197" s="16">
        <f t="shared" si="10"/>
        <v>7902.7199999999993</v>
      </c>
      <c r="E197" s="16">
        <f t="shared" si="11"/>
        <v>45534.720000000001</v>
      </c>
    </row>
    <row r="198" spans="1:5" x14ac:dyDescent="0.25">
      <c r="A198" s="9">
        <v>193</v>
      </c>
      <c r="B198">
        <v>197</v>
      </c>
      <c r="C198" s="16">
        <f t="shared" si="9"/>
        <v>38021</v>
      </c>
      <c r="D198" s="16">
        <f t="shared" si="10"/>
        <v>7984.41</v>
      </c>
      <c r="E198" s="16">
        <f t="shared" si="11"/>
        <v>46005.41</v>
      </c>
    </row>
    <row r="199" spans="1:5" x14ac:dyDescent="0.25">
      <c r="A199" s="9">
        <v>194</v>
      </c>
      <c r="B199">
        <v>198</v>
      </c>
      <c r="C199" s="16">
        <f t="shared" si="9"/>
        <v>38412</v>
      </c>
      <c r="D199" s="16">
        <f t="shared" si="10"/>
        <v>8066.5199999999995</v>
      </c>
      <c r="E199" s="16">
        <f t="shared" si="11"/>
        <v>46478.52</v>
      </c>
    </row>
    <row r="200" spans="1:5" x14ac:dyDescent="0.25">
      <c r="A200" s="9">
        <v>195</v>
      </c>
      <c r="B200">
        <v>199</v>
      </c>
      <c r="C200" s="16">
        <f t="shared" si="9"/>
        <v>38805</v>
      </c>
      <c r="D200" s="16">
        <f t="shared" si="10"/>
        <v>8149.0499999999993</v>
      </c>
      <c r="E200" s="16">
        <f t="shared" si="11"/>
        <v>46954.05</v>
      </c>
    </row>
    <row r="201" spans="1:5" x14ac:dyDescent="0.25">
      <c r="A201" s="9">
        <v>196</v>
      </c>
      <c r="B201">
        <v>200</v>
      </c>
      <c r="C201" s="16">
        <f t="shared" si="9"/>
        <v>39200</v>
      </c>
      <c r="D201" s="16">
        <f t="shared" si="10"/>
        <v>8232</v>
      </c>
      <c r="E201" s="16">
        <f t="shared" si="11"/>
        <v>47432</v>
      </c>
    </row>
    <row r="202" spans="1:5" x14ac:dyDescent="0.25">
      <c r="A202" s="9">
        <v>197</v>
      </c>
      <c r="B202">
        <v>201</v>
      </c>
      <c r="C202" s="16">
        <f t="shared" si="9"/>
        <v>39597</v>
      </c>
      <c r="D202" s="16">
        <f t="shared" si="10"/>
        <v>8315.369999999999</v>
      </c>
      <c r="E202" s="16">
        <f t="shared" si="11"/>
        <v>47912.369999999995</v>
      </c>
    </row>
    <row r="203" spans="1:5" x14ac:dyDescent="0.25">
      <c r="A203" s="9">
        <v>198</v>
      </c>
      <c r="B203">
        <v>202</v>
      </c>
      <c r="C203" s="16">
        <f t="shared" si="9"/>
        <v>39996</v>
      </c>
      <c r="D203" s="16">
        <f t="shared" si="10"/>
        <v>8399.16</v>
      </c>
      <c r="E203" s="16">
        <f t="shared" si="11"/>
        <v>48395.16</v>
      </c>
    </row>
    <row r="204" spans="1:5" x14ac:dyDescent="0.25">
      <c r="A204" s="9">
        <v>199</v>
      </c>
      <c r="B204">
        <v>203</v>
      </c>
      <c r="C204" s="16">
        <f t="shared" si="9"/>
        <v>40397</v>
      </c>
      <c r="D204" s="16">
        <f t="shared" si="10"/>
        <v>8483.369999999999</v>
      </c>
      <c r="E204" s="16">
        <f t="shared" si="11"/>
        <v>48880.369999999995</v>
      </c>
    </row>
    <row r="205" spans="1:5" x14ac:dyDescent="0.25">
      <c r="A205" s="9">
        <v>200</v>
      </c>
      <c r="B205">
        <v>204</v>
      </c>
      <c r="C205" s="16">
        <f t="shared" si="9"/>
        <v>40800</v>
      </c>
      <c r="D205" s="16">
        <f t="shared" si="10"/>
        <v>8568</v>
      </c>
      <c r="E205" s="16">
        <f t="shared" si="11"/>
        <v>49368</v>
      </c>
    </row>
    <row r="206" spans="1:5" x14ac:dyDescent="0.25">
      <c r="A206" s="9">
        <v>201</v>
      </c>
      <c r="B206">
        <v>205</v>
      </c>
      <c r="C206" s="16">
        <f t="shared" si="9"/>
        <v>41205</v>
      </c>
      <c r="D206" s="16">
        <f t="shared" si="10"/>
        <v>8653.0499999999993</v>
      </c>
      <c r="E206" s="16">
        <f t="shared" si="11"/>
        <v>49858.05</v>
      </c>
    </row>
    <row r="207" spans="1:5" x14ac:dyDescent="0.25">
      <c r="A207" s="9">
        <v>202</v>
      </c>
      <c r="B207">
        <v>206</v>
      </c>
      <c r="C207" s="16">
        <f t="shared" si="9"/>
        <v>41612</v>
      </c>
      <c r="D207" s="16">
        <f t="shared" si="10"/>
        <v>8738.52</v>
      </c>
      <c r="E207" s="16">
        <f t="shared" si="11"/>
        <v>50350.520000000004</v>
      </c>
    </row>
    <row r="208" spans="1:5" x14ac:dyDescent="0.25">
      <c r="A208" s="9">
        <v>203</v>
      </c>
      <c r="B208">
        <v>207</v>
      </c>
      <c r="C208" s="16">
        <f t="shared" si="9"/>
        <v>42021</v>
      </c>
      <c r="D208" s="16">
        <f t="shared" si="10"/>
        <v>8824.41</v>
      </c>
      <c r="E208" s="16">
        <f t="shared" si="11"/>
        <v>50845.41</v>
      </c>
    </row>
    <row r="209" spans="1:5" x14ac:dyDescent="0.25">
      <c r="A209" s="9">
        <v>204</v>
      </c>
      <c r="B209">
        <v>208</v>
      </c>
      <c r="C209" s="16">
        <f t="shared" si="9"/>
        <v>42432</v>
      </c>
      <c r="D209" s="16">
        <f t="shared" si="10"/>
        <v>8910.7199999999993</v>
      </c>
      <c r="E209" s="16">
        <f t="shared" si="11"/>
        <v>51342.720000000001</v>
      </c>
    </row>
    <row r="210" spans="1:5" x14ac:dyDescent="0.25">
      <c r="A210" s="9">
        <v>205</v>
      </c>
      <c r="B210">
        <v>209</v>
      </c>
      <c r="C210" s="16">
        <f t="shared" si="9"/>
        <v>42845</v>
      </c>
      <c r="D210" s="16">
        <f t="shared" si="10"/>
        <v>8997.4499999999989</v>
      </c>
      <c r="E210" s="16">
        <f t="shared" si="11"/>
        <v>51842.45</v>
      </c>
    </row>
    <row r="211" spans="1:5" x14ac:dyDescent="0.25">
      <c r="A211" s="9">
        <v>206</v>
      </c>
      <c r="B211">
        <v>210</v>
      </c>
      <c r="C211" s="16">
        <f t="shared" si="9"/>
        <v>43260</v>
      </c>
      <c r="D211" s="16">
        <f t="shared" si="10"/>
        <v>9084.6</v>
      </c>
      <c r="E211" s="16">
        <f t="shared" si="11"/>
        <v>52344.6</v>
      </c>
    </row>
    <row r="212" spans="1:5" x14ac:dyDescent="0.25">
      <c r="A212" s="9">
        <v>207</v>
      </c>
      <c r="B212">
        <v>211</v>
      </c>
      <c r="C212" s="16">
        <f t="shared" si="9"/>
        <v>43677</v>
      </c>
      <c r="D212" s="16">
        <f t="shared" si="10"/>
        <v>9172.17</v>
      </c>
      <c r="E212" s="16">
        <f t="shared" si="11"/>
        <v>52849.17</v>
      </c>
    </row>
    <row r="213" spans="1:5" x14ac:dyDescent="0.25">
      <c r="A213" s="9">
        <v>208</v>
      </c>
      <c r="B213">
        <v>212</v>
      </c>
      <c r="C213" s="16">
        <f t="shared" si="9"/>
        <v>44096</v>
      </c>
      <c r="D213" s="16">
        <f t="shared" si="10"/>
        <v>9260.16</v>
      </c>
      <c r="E213" s="16">
        <f t="shared" si="11"/>
        <v>53356.160000000003</v>
      </c>
    </row>
    <row r="214" spans="1:5" x14ac:dyDescent="0.25">
      <c r="A214" s="9">
        <v>209</v>
      </c>
      <c r="B214">
        <v>213</v>
      </c>
      <c r="C214" s="16">
        <f t="shared" si="9"/>
        <v>44517</v>
      </c>
      <c r="D214" s="16">
        <f t="shared" si="10"/>
        <v>9348.57</v>
      </c>
      <c r="E214" s="16">
        <f t="shared" si="11"/>
        <v>53865.57</v>
      </c>
    </row>
    <row r="215" spans="1:5" x14ac:dyDescent="0.25">
      <c r="A215" s="9">
        <v>210</v>
      </c>
      <c r="B215">
        <v>214</v>
      </c>
      <c r="C215" s="16">
        <f t="shared" si="9"/>
        <v>44940</v>
      </c>
      <c r="D215" s="16">
        <f t="shared" si="10"/>
        <v>9437.4</v>
      </c>
      <c r="E215" s="16">
        <f t="shared" si="11"/>
        <v>54377.4</v>
      </c>
    </row>
    <row r="216" spans="1:5" x14ac:dyDescent="0.25">
      <c r="A216" s="9">
        <v>211</v>
      </c>
      <c r="B216">
        <v>215</v>
      </c>
      <c r="C216" s="16">
        <f t="shared" si="9"/>
        <v>45365</v>
      </c>
      <c r="D216" s="16">
        <f t="shared" si="10"/>
        <v>9526.65</v>
      </c>
      <c r="E216" s="16">
        <f t="shared" si="11"/>
        <v>54891.65</v>
      </c>
    </row>
    <row r="217" spans="1:5" x14ac:dyDescent="0.25">
      <c r="A217" s="9">
        <v>212</v>
      </c>
      <c r="B217">
        <v>216</v>
      </c>
      <c r="C217" s="16">
        <f t="shared" si="9"/>
        <v>45792</v>
      </c>
      <c r="D217" s="16">
        <f t="shared" si="10"/>
        <v>9616.32</v>
      </c>
      <c r="E217" s="16">
        <f t="shared" si="11"/>
        <v>55408.32</v>
      </c>
    </row>
    <row r="218" spans="1:5" x14ac:dyDescent="0.25">
      <c r="A218" s="9">
        <v>213</v>
      </c>
      <c r="B218">
        <v>217</v>
      </c>
      <c r="C218" s="16">
        <f t="shared" si="9"/>
        <v>46221</v>
      </c>
      <c r="D218" s="16">
        <f t="shared" si="10"/>
        <v>9706.41</v>
      </c>
      <c r="E218" s="16">
        <f t="shared" si="11"/>
        <v>55927.41</v>
      </c>
    </row>
    <row r="219" spans="1:5" x14ac:dyDescent="0.25">
      <c r="A219" s="9">
        <v>214</v>
      </c>
      <c r="B219">
        <v>218</v>
      </c>
      <c r="C219" s="16">
        <f t="shared" si="9"/>
        <v>46652</v>
      </c>
      <c r="D219" s="16">
        <f t="shared" si="10"/>
        <v>9796.92</v>
      </c>
      <c r="E219" s="16">
        <f t="shared" si="11"/>
        <v>56448.92</v>
      </c>
    </row>
    <row r="220" spans="1:5" x14ac:dyDescent="0.25">
      <c r="A220" s="9">
        <v>215</v>
      </c>
      <c r="B220">
        <v>219</v>
      </c>
      <c r="C220" s="16">
        <f t="shared" si="9"/>
        <v>47085</v>
      </c>
      <c r="D220" s="16">
        <f t="shared" si="10"/>
        <v>9887.85</v>
      </c>
      <c r="E220" s="16">
        <f t="shared" si="11"/>
        <v>56972.85</v>
      </c>
    </row>
    <row r="221" spans="1:5" x14ac:dyDescent="0.25">
      <c r="A221" s="9">
        <v>216</v>
      </c>
      <c r="B221">
        <v>220</v>
      </c>
      <c r="C221" s="16">
        <f t="shared" si="9"/>
        <v>47520</v>
      </c>
      <c r="D221" s="16">
        <f t="shared" si="10"/>
        <v>9979.1999999999989</v>
      </c>
      <c r="E221" s="16">
        <f t="shared" si="11"/>
        <v>57499.199999999997</v>
      </c>
    </row>
    <row r="222" spans="1:5" x14ac:dyDescent="0.25">
      <c r="A222" s="9">
        <v>217</v>
      </c>
      <c r="B222">
        <v>221</v>
      </c>
      <c r="C222" s="16">
        <f t="shared" si="9"/>
        <v>47957</v>
      </c>
      <c r="D222" s="16">
        <f t="shared" si="10"/>
        <v>10070.969999999999</v>
      </c>
      <c r="E222" s="16">
        <f t="shared" si="11"/>
        <v>58027.97</v>
      </c>
    </row>
    <row r="223" spans="1:5" x14ac:dyDescent="0.25">
      <c r="A223" s="9">
        <v>218</v>
      </c>
      <c r="B223">
        <v>222</v>
      </c>
      <c r="C223" s="16">
        <f t="shared" si="9"/>
        <v>48396</v>
      </c>
      <c r="D223" s="16">
        <f t="shared" si="10"/>
        <v>10163.16</v>
      </c>
      <c r="E223" s="16">
        <f t="shared" si="11"/>
        <v>58559.16</v>
      </c>
    </row>
    <row r="224" spans="1:5" x14ac:dyDescent="0.25">
      <c r="A224" s="9">
        <v>219</v>
      </c>
      <c r="B224">
        <v>223</v>
      </c>
      <c r="C224" s="16">
        <f t="shared" si="9"/>
        <v>48837</v>
      </c>
      <c r="D224" s="16">
        <f t="shared" si="10"/>
        <v>10255.77</v>
      </c>
      <c r="E224" s="16">
        <f t="shared" si="11"/>
        <v>59092.770000000004</v>
      </c>
    </row>
    <row r="225" spans="1:5" x14ac:dyDescent="0.25">
      <c r="A225" s="9">
        <v>220</v>
      </c>
      <c r="B225">
        <v>224</v>
      </c>
      <c r="C225" s="16">
        <f t="shared" si="9"/>
        <v>49280</v>
      </c>
      <c r="D225" s="16">
        <f t="shared" si="10"/>
        <v>10348.799999999999</v>
      </c>
      <c r="E225" s="16">
        <f t="shared" si="11"/>
        <v>59628.800000000003</v>
      </c>
    </row>
    <row r="226" spans="1:5" x14ac:dyDescent="0.25">
      <c r="A226" s="9">
        <v>221</v>
      </c>
      <c r="B226">
        <v>225</v>
      </c>
      <c r="C226" s="16">
        <f t="shared" si="9"/>
        <v>49725</v>
      </c>
      <c r="D226" s="16">
        <f t="shared" si="10"/>
        <v>10442.25</v>
      </c>
      <c r="E226" s="16">
        <f t="shared" si="11"/>
        <v>60167.25</v>
      </c>
    </row>
    <row r="227" spans="1:5" x14ac:dyDescent="0.25">
      <c r="A227" s="9">
        <v>222</v>
      </c>
      <c r="B227">
        <v>226</v>
      </c>
      <c r="C227" s="16">
        <f t="shared" si="9"/>
        <v>50172</v>
      </c>
      <c r="D227" s="16">
        <f t="shared" si="10"/>
        <v>10536.119999999999</v>
      </c>
      <c r="E227" s="16">
        <f t="shared" si="11"/>
        <v>60708.119999999995</v>
      </c>
    </row>
    <row r="228" spans="1:5" x14ac:dyDescent="0.25">
      <c r="A228" s="9">
        <v>223</v>
      </c>
      <c r="B228">
        <v>227</v>
      </c>
      <c r="C228" s="16">
        <f t="shared" si="9"/>
        <v>50621</v>
      </c>
      <c r="D228" s="16">
        <f t="shared" si="10"/>
        <v>10630.41</v>
      </c>
      <c r="E228" s="16">
        <f t="shared" si="11"/>
        <v>61251.41</v>
      </c>
    </row>
    <row r="229" spans="1:5" x14ac:dyDescent="0.25">
      <c r="A229" s="9">
        <v>224</v>
      </c>
      <c r="B229">
        <v>228</v>
      </c>
      <c r="C229" s="16">
        <f t="shared" si="9"/>
        <v>51072</v>
      </c>
      <c r="D229" s="16">
        <f t="shared" si="10"/>
        <v>10725.119999999999</v>
      </c>
      <c r="E229" s="16">
        <f t="shared" si="11"/>
        <v>61797.119999999995</v>
      </c>
    </row>
    <row r="230" spans="1:5" x14ac:dyDescent="0.25">
      <c r="A230" s="9">
        <v>225</v>
      </c>
      <c r="B230">
        <v>229</v>
      </c>
      <c r="C230" s="16">
        <f t="shared" si="9"/>
        <v>51525</v>
      </c>
      <c r="D230" s="16">
        <f t="shared" si="10"/>
        <v>10820.25</v>
      </c>
      <c r="E230" s="16">
        <f t="shared" si="11"/>
        <v>62345.25</v>
      </c>
    </row>
    <row r="231" spans="1:5" x14ac:dyDescent="0.25">
      <c r="A231" s="9">
        <v>226</v>
      </c>
      <c r="B231">
        <v>230</v>
      </c>
      <c r="C231" s="16">
        <f t="shared" si="9"/>
        <v>51980</v>
      </c>
      <c r="D231" s="16">
        <f t="shared" si="10"/>
        <v>10915.8</v>
      </c>
      <c r="E231" s="16">
        <f t="shared" si="11"/>
        <v>62895.8</v>
      </c>
    </row>
    <row r="232" spans="1:5" x14ac:dyDescent="0.25">
      <c r="A232" s="9">
        <v>227</v>
      </c>
      <c r="B232">
        <v>231</v>
      </c>
      <c r="C232" s="16">
        <f t="shared" si="9"/>
        <v>52437</v>
      </c>
      <c r="D232" s="16">
        <f t="shared" si="10"/>
        <v>11011.77</v>
      </c>
      <c r="E232" s="16">
        <f t="shared" si="11"/>
        <v>63448.770000000004</v>
      </c>
    </row>
    <row r="233" spans="1:5" x14ac:dyDescent="0.25">
      <c r="A233" s="9">
        <v>228</v>
      </c>
      <c r="B233">
        <v>232</v>
      </c>
      <c r="C233" s="16">
        <f t="shared" si="9"/>
        <v>52896</v>
      </c>
      <c r="D233" s="16">
        <f t="shared" si="10"/>
        <v>11108.16</v>
      </c>
      <c r="E233" s="16">
        <f t="shared" si="11"/>
        <v>64004.160000000003</v>
      </c>
    </row>
    <row r="234" spans="1:5" x14ac:dyDescent="0.25">
      <c r="A234" s="9">
        <v>229</v>
      </c>
      <c r="B234">
        <v>233</v>
      </c>
      <c r="C234" s="16">
        <f t="shared" si="9"/>
        <v>53357</v>
      </c>
      <c r="D234" s="16">
        <f t="shared" si="10"/>
        <v>11204.97</v>
      </c>
      <c r="E234" s="16">
        <f t="shared" si="11"/>
        <v>64561.97</v>
      </c>
    </row>
    <row r="235" spans="1:5" x14ac:dyDescent="0.25">
      <c r="A235" s="9">
        <v>230</v>
      </c>
      <c r="B235">
        <v>234</v>
      </c>
      <c r="C235" s="16">
        <f t="shared" si="9"/>
        <v>53820</v>
      </c>
      <c r="D235" s="16">
        <f t="shared" si="10"/>
        <v>11302.199999999999</v>
      </c>
      <c r="E235" s="16">
        <f t="shared" si="11"/>
        <v>65122.2</v>
      </c>
    </row>
    <row r="236" spans="1:5" x14ac:dyDescent="0.25">
      <c r="A236" s="9">
        <v>231</v>
      </c>
      <c r="B236">
        <v>235</v>
      </c>
      <c r="C236" s="16">
        <f t="shared" si="9"/>
        <v>54285</v>
      </c>
      <c r="D236" s="16">
        <f t="shared" si="10"/>
        <v>11399.85</v>
      </c>
      <c r="E236" s="16">
        <f t="shared" si="11"/>
        <v>65684.850000000006</v>
      </c>
    </row>
    <row r="237" spans="1:5" x14ac:dyDescent="0.25">
      <c r="A237" s="9">
        <v>232</v>
      </c>
      <c r="B237">
        <v>236</v>
      </c>
      <c r="C237" s="16">
        <f t="shared" si="9"/>
        <v>54752</v>
      </c>
      <c r="D237" s="16">
        <f t="shared" si="10"/>
        <v>11497.92</v>
      </c>
      <c r="E237" s="16">
        <f t="shared" si="11"/>
        <v>66249.919999999998</v>
      </c>
    </row>
    <row r="238" spans="1:5" x14ac:dyDescent="0.25">
      <c r="A238" s="9">
        <v>233</v>
      </c>
      <c r="B238">
        <v>237</v>
      </c>
      <c r="C238" s="16">
        <f t="shared" si="9"/>
        <v>55221</v>
      </c>
      <c r="D238" s="16">
        <f t="shared" si="10"/>
        <v>11596.41</v>
      </c>
      <c r="E238" s="16">
        <f t="shared" si="11"/>
        <v>66817.41</v>
      </c>
    </row>
    <row r="239" spans="1:5" x14ac:dyDescent="0.25">
      <c r="A239" s="9">
        <v>234</v>
      </c>
      <c r="B239">
        <v>238</v>
      </c>
      <c r="C239" s="16">
        <f t="shared" si="9"/>
        <v>55692</v>
      </c>
      <c r="D239" s="16">
        <f t="shared" si="10"/>
        <v>11695.32</v>
      </c>
      <c r="E239" s="16">
        <f t="shared" si="11"/>
        <v>67387.320000000007</v>
      </c>
    </row>
    <row r="240" spans="1:5" x14ac:dyDescent="0.25">
      <c r="A240" s="9">
        <v>235</v>
      </c>
      <c r="B240">
        <v>239</v>
      </c>
      <c r="C240" s="16">
        <f t="shared" si="9"/>
        <v>56165</v>
      </c>
      <c r="D240" s="16">
        <f t="shared" si="10"/>
        <v>11794.65</v>
      </c>
      <c r="E240" s="16">
        <f t="shared" si="11"/>
        <v>67959.649999999994</v>
      </c>
    </row>
    <row r="241" spans="1:5" x14ac:dyDescent="0.25">
      <c r="A241" s="9">
        <v>236</v>
      </c>
      <c r="B241">
        <v>240</v>
      </c>
      <c r="C241" s="16">
        <f t="shared" si="9"/>
        <v>56640</v>
      </c>
      <c r="D241" s="16">
        <f t="shared" si="10"/>
        <v>11894.4</v>
      </c>
      <c r="E241" s="16">
        <f t="shared" si="11"/>
        <v>68534.399999999994</v>
      </c>
    </row>
    <row r="242" spans="1:5" x14ac:dyDescent="0.25">
      <c r="A242" s="9">
        <v>237</v>
      </c>
      <c r="B242">
        <v>241</v>
      </c>
      <c r="C242" s="16">
        <f t="shared" si="9"/>
        <v>57117</v>
      </c>
      <c r="D242" s="16">
        <f t="shared" si="10"/>
        <v>11994.57</v>
      </c>
      <c r="E242" s="16">
        <f t="shared" si="11"/>
        <v>69111.570000000007</v>
      </c>
    </row>
    <row r="243" spans="1:5" x14ac:dyDescent="0.25">
      <c r="A243" s="9">
        <v>238</v>
      </c>
      <c r="B243">
        <v>242</v>
      </c>
      <c r="C243" s="16">
        <f t="shared" si="9"/>
        <v>57596</v>
      </c>
      <c r="D243" s="16">
        <f t="shared" si="10"/>
        <v>12095.16</v>
      </c>
      <c r="E243" s="16">
        <f t="shared" si="11"/>
        <v>69691.16</v>
      </c>
    </row>
    <row r="244" spans="1:5" x14ac:dyDescent="0.25">
      <c r="A244" s="9">
        <v>239</v>
      </c>
      <c r="B244">
        <v>243</v>
      </c>
      <c r="C244" s="16">
        <f t="shared" si="9"/>
        <v>58077</v>
      </c>
      <c r="D244" s="16">
        <f t="shared" si="10"/>
        <v>12196.17</v>
      </c>
      <c r="E244" s="16">
        <f t="shared" si="11"/>
        <v>70273.17</v>
      </c>
    </row>
    <row r="245" spans="1:5" x14ac:dyDescent="0.25">
      <c r="A245" s="9">
        <v>240</v>
      </c>
      <c r="B245">
        <v>244</v>
      </c>
      <c r="C245" s="16">
        <f t="shared" si="9"/>
        <v>58560</v>
      </c>
      <c r="D245" s="16">
        <f t="shared" si="10"/>
        <v>12297.6</v>
      </c>
      <c r="E245" s="16">
        <f t="shared" si="11"/>
        <v>70857.600000000006</v>
      </c>
    </row>
    <row r="246" spans="1:5" x14ac:dyDescent="0.25">
      <c r="A246" s="9">
        <v>241</v>
      </c>
      <c r="B246">
        <v>245</v>
      </c>
      <c r="C246" s="16">
        <f t="shared" si="9"/>
        <v>59045</v>
      </c>
      <c r="D246" s="16">
        <f t="shared" si="10"/>
        <v>12399.449999999999</v>
      </c>
      <c r="E246" s="16">
        <f t="shared" si="11"/>
        <v>71444.45</v>
      </c>
    </row>
    <row r="247" spans="1:5" x14ac:dyDescent="0.25">
      <c r="A247" s="9">
        <v>242</v>
      </c>
      <c r="B247">
        <v>246</v>
      </c>
      <c r="C247" s="16">
        <f t="shared" si="9"/>
        <v>59532</v>
      </c>
      <c r="D247" s="16">
        <f t="shared" si="10"/>
        <v>12501.72</v>
      </c>
      <c r="E247" s="16">
        <f t="shared" si="11"/>
        <v>72033.72</v>
      </c>
    </row>
    <row r="248" spans="1:5" x14ac:dyDescent="0.25">
      <c r="A248" s="9">
        <v>243</v>
      </c>
      <c r="B248">
        <v>247</v>
      </c>
      <c r="C248" s="16">
        <f t="shared" si="9"/>
        <v>60021</v>
      </c>
      <c r="D248" s="16">
        <f t="shared" si="10"/>
        <v>12604.41</v>
      </c>
      <c r="E248" s="16">
        <f t="shared" si="11"/>
        <v>72625.41</v>
      </c>
    </row>
    <row r="249" spans="1:5" x14ac:dyDescent="0.25">
      <c r="A249" s="9">
        <v>244</v>
      </c>
      <c r="B249">
        <v>248</v>
      </c>
      <c r="C249" s="16">
        <f t="shared" si="9"/>
        <v>60512</v>
      </c>
      <c r="D249" s="16">
        <f t="shared" si="10"/>
        <v>12707.52</v>
      </c>
      <c r="E249" s="16">
        <f t="shared" si="11"/>
        <v>73219.520000000004</v>
      </c>
    </row>
    <row r="250" spans="1:5" x14ac:dyDescent="0.25">
      <c r="A250" s="9">
        <v>245</v>
      </c>
      <c r="B250">
        <v>249</v>
      </c>
      <c r="C250" s="16">
        <f t="shared" si="9"/>
        <v>61005</v>
      </c>
      <c r="D250" s="16">
        <f t="shared" si="10"/>
        <v>12811.05</v>
      </c>
      <c r="E250" s="16">
        <f t="shared" si="11"/>
        <v>73816.05</v>
      </c>
    </row>
    <row r="251" spans="1:5" x14ac:dyDescent="0.25">
      <c r="A251" s="9">
        <v>246</v>
      </c>
      <c r="B251">
        <v>250</v>
      </c>
      <c r="C251" s="16">
        <f t="shared" si="9"/>
        <v>61500</v>
      </c>
      <c r="D251" s="16">
        <f t="shared" si="10"/>
        <v>12915</v>
      </c>
      <c r="E251" s="16">
        <f t="shared" si="11"/>
        <v>74415</v>
      </c>
    </row>
    <row r="252" spans="1:5" x14ac:dyDescent="0.25">
      <c r="A252" s="9">
        <v>247</v>
      </c>
      <c r="B252">
        <v>251</v>
      </c>
      <c r="C252" s="16">
        <f t="shared" si="9"/>
        <v>61997</v>
      </c>
      <c r="D252" s="16">
        <f t="shared" si="10"/>
        <v>13019.369999999999</v>
      </c>
      <c r="E252" s="16">
        <f t="shared" si="11"/>
        <v>75016.37</v>
      </c>
    </row>
    <row r="253" spans="1:5" x14ac:dyDescent="0.25">
      <c r="A253" s="9">
        <v>248</v>
      </c>
      <c r="B253">
        <v>252</v>
      </c>
      <c r="C253" s="16">
        <f t="shared" si="9"/>
        <v>62496</v>
      </c>
      <c r="D253" s="16">
        <f t="shared" si="10"/>
        <v>13124.16</v>
      </c>
      <c r="E253" s="16">
        <f t="shared" si="11"/>
        <v>75620.160000000003</v>
      </c>
    </row>
    <row r="254" spans="1:5" x14ac:dyDescent="0.25">
      <c r="A254" s="9">
        <v>249</v>
      </c>
      <c r="B254">
        <v>253</v>
      </c>
      <c r="C254" s="16">
        <f t="shared" si="9"/>
        <v>62997</v>
      </c>
      <c r="D254" s="16">
        <f t="shared" si="10"/>
        <v>13229.369999999999</v>
      </c>
      <c r="E254" s="16">
        <f t="shared" si="11"/>
        <v>76226.37</v>
      </c>
    </row>
    <row r="255" spans="1:5" x14ac:dyDescent="0.25">
      <c r="A255" s="9">
        <v>250</v>
      </c>
      <c r="B255">
        <v>254</v>
      </c>
      <c r="C255" s="16">
        <f t="shared" si="9"/>
        <v>63500</v>
      </c>
      <c r="D255" s="16">
        <f t="shared" si="10"/>
        <v>13335</v>
      </c>
      <c r="E255" s="16">
        <f t="shared" si="11"/>
        <v>76835</v>
      </c>
    </row>
    <row r="256" spans="1:5" x14ac:dyDescent="0.25">
      <c r="A256" s="9">
        <v>251</v>
      </c>
      <c r="B256">
        <v>255</v>
      </c>
      <c r="C256" s="16">
        <f t="shared" si="9"/>
        <v>64005</v>
      </c>
      <c r="D256" s="16">
        <f t="shared" si="10"/>
        <v>13441.05</v>
      </c>
      <c r="E256" s="16">
        <f t="shared" si="11"/>
        <v>77446.05</v>
      </c>
    </row>
    <row r="257" spans="1:5" x14ac:dyDescent="0.25">
      <c r="A257" s="9">
        <v>252</v>
      </c>
      <c r="B257">
        <v>256</v>
      </c>
      <c r="C257" s="16">
        <f t="shared" si="9"/>
        <v>64512</v>
      </c>
      <c r="D257" s="16">
        <f t="shared" si="10"/>
        <v>13547.519999999999</v>
      </c>
      <c r="E257" s="16">
        <f t="shared" si="11"/>
        <v>78059.520000000004</v>
      </c>
    </row>
    <row r="258" spans="1:5" x14ac:dyDescent="0.25">
      <c r="A258" s="9">
        <v>253</v>
      </c>
      <c r="B258">
        <v>257</v>
      </c>
      <c r="C258" s="16">
        <f t="shared" ref="C258" si="12">A258*B258</f>
        <v>65021</v>
      </c>
      <c r="D258" s="16">
        <f t="shared" ref="D258" si="13">C258* 0.21</f>
        <v>13654.41</v>
      </c>
      <c r="E258" s="16">
        <f t="shared" ref="E258" si="14">C258+D258</f>
        <v>78675.41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814A7-5CA0-4AC7-A7A8-57E7DE0F1347}">
  <sheetPr codeName="Hoja9"/>
  <dimension ref="A1:E11"/>
  <sheetViews>
    <sheetView workbookViewId="0">
      <selection activeCell="A11" sqref="A11"/>
    </sheetView>
  </sheetViews>
  <sheetFormatPr baseColWidth="10" defaultRowHeight="15" x14ac:dyDescent="0.25"/>
  <sheetData>
    <row r="1" spans="1:5" x14ac:dyDescent="0.25">
      <c r="A1">
        <v>5</v>
      </c>
      <c r="B1">
        <v>8</v>
      </c>
      <c r="C1">
        <v>11</v>
      </c>
      <c r="D1">
        <v>14</v>
      </c>
      <c r="E1">
        <v>17</v>
      </c>
    </row>
    <row r="2" spans="1:5" x14ac:dyDescent="0.25">
      <c r="A2">
        <v>7</v>
      </c>
      <c r="B2">
        <v>10</v>
      </c>
      <c r="C2">
        <v>13</v>
      </c>
      <c r="D2">
        <v>16</v>
      </c>
      <c r="E2">
        <v>19</v>
      </c>
    </row>
    <row r="3" spans="1:5" x14ac:dyDescent="0.25">
      <c r="A3">
        <v>9</v>
      </c>
      <c r="B3">
        <v>12</v>
      </c>
      <c r="C3">
        <v>15</v>
      </c>
      <c r="D3">
        <v>18</v>
      </c>
      <c r="E3">
        <v>21</v>
      </c>
    </row>
    <row r="4" spans="1:5" x14ac:dyDescent="0.25">
      <c r="A4">
        <v>11</v>
      </c>
      <c r="B4">
        <v>14</v>
      </c>
      <c r="C4">
        <v>17</v>
      </c>
      <c r="D4">
        <v>20</v>
      </c>
      <c r="E4">
        <v>23</v>
      </c>
    </row>
    <row r="5" spans="1:5" x14ac:dyDescent="0.25">
      <c r="A5">
        <v>13</v>
      </c>
      <c r="B5">
        <v>16</v>
      </c>
      <c r="C5">
        <v>19</v>
      </c>
      <c r="D5">
        <v>22</v>
      </c>
      <c r="E5">
        <v>25</v>
      </c>
    </row>
    <row r="6" spans="1:5" x14ac:dyDescent="0.25">
      <c r="A6">
        <v>15</v>
      </c>
      <c r="B6">
        <v>18</v>
      </c>
      <c r="C6">
        <v>21</v>
      </c>
      <c r="D6">
        <v>24</v>
      </c>
      <c r="E6">
        <v>27</v>
      </c>
    </row>
    <row r="7" spans="1:5" x14ac:dyDescent="0.25">
      <c r="A7">
        <v>17</v>
      </c>
      <c r="B7">
        <v>20</v>
      </c>
      <c r="C7">
        <v>23</v>
      </c>
      <c r="D7">
        <v>26</v>
      </c>
      <c r="E7">
        <v>29</v>
      </c>
    </row>
    <row r="8" spans="1:5" x14ac:dyDescent="0.25">
      <c r="A8">
        <v>19</v>
      </c>
      <c r="B8">
        <v>22</v>
      </c>
      <c r="C8">
        <v>25</v>
      </c>
      <c r="D8">
        <v>28</v>
      </c>
      <c r="E8">
        <v>31</v>
      </c>
    </row>
    <row r="9" spans="1:5" x14ac:dyDescent="0.25">
      <c r="A9">
        <v>21</v>
      </c>
      <c r="B9">
        <v>24</v>
      </c>
      <c r="C9">
        <v>27</v>
      </c>
      <c r="D9">
        <v>30</v>
      </c>
      <c r="E9">
        <v>33</v>
      </c>
    </row>
    <row r="10" spans="1:5" x14ac:dyDescent="0.25">
      <c r="A10">
        <v>117</v>
      </c>
      <c r="B10">
        <v>144</v>
      </c>
      <c r="C10">
        <v>171</v>
      </c>
      <c r="D10">
        <v>198</v>
      </c>
      <c r="E10">
        <v>225</v>
      </c>
    </row>
    <row r="11" spans="1:5" x14ac:dyDescent="0.25">
      <c r="A11" t="e" cm="1">
        <f t="array" aca="1" ref="A11" ca="1">factorial(A1)</f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E781B-83D9-4984-8EFF-5660CE4C518A}">
  <sheetPr codeName="Hoja12"/>
  <dimension ref="A1:L15"/>
  <sheetViews>
    <sheetView workbookViewId="0">
      <selection activeCell="M1" sqref="M1"/>
    </sheetView>
  </sheetViews>
  <sheetFormatPr baseColWidth="10" defaultRowHeight="15" x14ac:dyDescent="0.25"/>
  <sheetData>
    <row r="1" spans="1:12" x14ac:dyDescent="0.25">
      <c r="A1" s="17">
        <v>44562</v>
      </c>
      <c r="B1" s="17">
        <v>44577</v>
      </c>
      <c r="C1" s="8">
        <v>44592</v>
      </c>
      <c r="D1" s="8">
        <v>44607</v>
      </c>
      <c r="E1" s="8">
        <v>44622</v>
      </c>
      <c r="F1" s="8">
        <v>44637</v>
      </c>
      <c r="G1" s="8">
        <v>44652</v>
      </c>
      <c r="H1" s="17">
        <v>44667</v>
      </c>
      <c r="I1" s="17">
        <v>44682</v>
      </c>
      <c r="J1" s="8">
        <v>44697</v>
      </c>
      <c r="K1" s="8">
        <v>44712</v>
      </c>
      <c r="L1" s="8">
        <v>44727</v>
      </c>
    </row>
    <row r="2" spans="1:12" x14ac:dyDescent="0.25">
      <c r="A2" s="17">
        <v>44563</v>
      </c>
      <c r="B2" s="8">
        <v>44578</v>
      </c>
      <c r="C2" s="8">
        <v>44593</v>
      </c>
      <c r="D2" s="8">
        <v>44608</v>
      </c>
      <c r="E2" s="8">
        <v>44623</v>
      </c>
      <c r="F2" s="8">
        <v>44638</v>
      </c>
      <c r="G2" s="17">
        <v>44653</v>
      </c>
      <c r="H2" s="17">
        <v>44668</v>
      </c>
      <c r="I2" s="8">
        <v>44683</v>
      </c>
      <c r="J2" s="8">
        <v>44698</v>
      </c>
      <c r="K2" s="8">
        <v>44713</v>
      </c>
      <c r="L2" s="8">
        <v>44728</v>
      </c>
    </row>
    <row r="3" spans="1:12" x14ac:dyDescent="0.25">
      <c r="A3" s="8">
        <v>44564</v>
      </c>
      <c r="B3" s="8">
        <v>44579</v>
      </c>
      <c r="C3" s="8">
        <v>44594</v>
      </c>
      <c r="D3" s="8">
        <v>44609</v>
      </c>
      <c r="E3" s="8">
        <v>44624</v>
      </c>
      <c r="F3" s="17">
        <v>44639</v>
      </c>
      <c r="G3" s="17">
        <v>44654</v>
      </c>
      <c r="H3" s="8">
        <v>44669</v>
      </c>
      <c r="I3" s="8">
        <v>44684</v>
      </c>
      <c r="J3" s="8">
        <v>44699</v>
      </c>
      <c r="K3" s="8">
        <v>44714</v>
      </c>
      <c r="L3" s="8">
        <v>44729</v>
      </c>
    </row>
    <row r="4" spans="1:12" x14ac:dyDescent="0.25">
      <c r="A4" s="8">
        <v>44565</v>
      </c>
      <c r="B4" s="8">
        <v>44580</v>
      </c>
      <c r="C4" s="8">
        <v>44595</v>
      </c>
      <c r="D4" s="8">
        <v>44610</v>
      </c>
      <c r="E4" s="17">
        <v>44625</v>
      </c>
      <c r="F4" s="17">
        <v>44640</v>
      </c>
      <c r="G4" s="8">
        <v>44655</v>
      </c>
      <c r="H4" s="8">
        <v>44670</v>
      </c>
      <c r="I4" s="8">
        <v>44685</v>
      </c>
      <c r="J4" s="8">
        <v>44700</v>
      </c>
      <c r="K4" s="8">
        <v>44715</v>
      </c>
      <c r="L4" s="17">
        <v>44730</v>
      </c>
    </row>
    <row r="5" spans="1:12" x14ac:dyDescent="0.25">
      <c r="A5" s="8">
        <v>44566</v>
      </c>
      <c r="B5" s="8">
        <v>44581</v>
      </c>
      <c r="C5" s="8">
        <v>44596</v>
      </c>
      <c r="D5" s="17">
        <v>44611</v>
      </c>
      <c r="E5" s="17">
        <v>44626</v>
      </c>
      <c r="F5" s="8">
        <v>44641</v>
      </c>
      <c r="G5" s="8">
        <v>44656</v>
      </c>
      <c r="H5" s="8">
        <v>44671</v>
      </c>
      <c r="I5" s="8">
        <v>44686</v>
      </c>
      <c r="J5" s="8">
        <v>44701</v>
      </c>
      <c r="K5" s="17">
        <v>44716</v>
      </c>
      <c r="L5" s="17">
        <v>44731</v>
      </c>
    </row>
    <row r="6" spans="1:12" x14ac:dyDescent="0.25">
      <c r="A6" s="8">
        <v>44567</v>
      </c>
      <c r="B6" s="8">
        <v>44582</v>
      </c>
      <c r="C6" s="17">
        <v>44597</v>
      </c>
      <c r="D6" s="17">
        <v>44612</v>
      </c>
      <c r="E6" s="8">
        <v>44627</v>
      </c>
      <c r="F6" s="8">
        <v>44642</v>
      </c>
      <c r="G6" s="8">
        <v>44657</v>
      </c>
      <c r="H6" s="8">
        <v>44672</v>
      </c>
      <c r="I6" s="8">
        <v>44687</v>
      </c>
      <c r="J6" s="17">
        <v>44702</v>
      </c>
      <c r="K6" s="17">
        <v>44717</v>
      </c>
      <c r="L6" s="8">
        <v>44732</v>
      </c>
    </row>
    <row r="7" spans="1:12" x14ac:dyDescent="0.25">
      <c r="A7" s="8">
        <v>44568</v>
      </c>
      <c r="B7" s="17">
        <v>44583</v>
      </c>
      <c r="C7" s="17">
        <v>44598</v>
      </c>
      <c r="D7" s="8">
        <v>44613</v>
      </c>
      <c r="E7" s="8">
        <v>44628</v>
      </c>
      <c r="F7" s="8">
        <v>44643</v>
      </c>
      <c r="G7" s="8">
        <v>44658</v>
      </c>
      <c r="H7" s="8">
        <v>44673</v>
      </c>
      <c r="I7" s="17">
        <v>44688</v>
      </c>
      <c r="J7" s="17">
        <v>44703</v>
      </c>
      <c r="K7" s="8">
        <v>44718</v>
      </c>
      <c r="L7" s="8">
        <v>44733</v>
      </c>
    </row>
    <row r="8" spans="1:12" x14ac:dyDescent="0.25">
      <c r="A8" s="17">
        <v>44569</v>
      </c>
      <c r="B8" s="17">
        <v>44584</v>
      </c>
      <c r="C8" s="8">
        <v>44599</v>
      </c>
      <c r="D8" s="8">
        <v>44614</v>
      </c>
      <c r="E8" s="8">
        <v>44629</v>
      </c>
      <c r="F8" s="8">
        <v>44644</v>
      </c>
      <c r="G8" s="8">
        <v>44659</v>
      </c>
      <c r="H8" s="17">
        <v>44674</v>
      </c>
      <c r="I8" s="17">
        <v>44689</v>
      </c>
      <c r="J8" s="8">
        <v>44704</v>
      </c>
      <c r="K8" s="8">
        <v>44719</v>
      </c>
      <c r="L8" s="8">
        <v>44734</v>
      </c>
    </row>
    <row r="9" spans="1:12" x14ac:dyDescent="0.25">
      <c r="A9" s="17">
        <v>44570</v>
      </c>
      <c r="B9" s="8">
        <v>44585</v>
      </c>
      <c r="C9" s="8">
        <v>44600</v>
      </c>
      <c r="D9" s="8">
        <v>44615</v>
      </c>
      <c r="E9" s="8">
        <v>44630</v>
      </c>
      <c r="F9" s="8">
        <v>44645</v>
      </c>
      <c r="G9" s="17">
        <v>44660</v>
      </c>
      <c r="H9" s="17">
        <v>44675</v>
      </c>
      <c r="I9" s="8">
        <v>44690</v>
      </c>
      <c r="J9" s="8">
        <v>44705</v>
      </c>
      <c r="K9" s="8">
        <v>44720</v>
      </c>
      <c r="L9" s="8">
        <v>44735</v>
      </c>
    </row>
    <row r="10" spans="1:12" x14ac:dyDescent="0.25">
      <c r="A10" s="8">
        <v>44571</v>
      </c>
      <c r="B10" s="8">
        <v>44586</v>
      </c>
      <c r="C10" s="8">
        <v>44601</v>
      </c>
      <c r="D10" s="8">
        <v>44616</v>
      </c>
      <c r="E10" s="8">
        <v>44631</v>
      </c>
      <c r="F10" s="17">
        <v>44646</v>
      </c>
      <c r="G10" s="17">
        <v>44661</v>
      </c>
      <c r="H10" s="8">
        <v>44676</v>
      </c>
      <c r="I10" s="8">
        <v>44691</v>
      </c>
      <c r="J10" s="8">
        <v>44706</v>
      </c>
      <c r="K10" s="8">
        <v>44721</v>
      </c>
      <c r="L10" s="8">
        <v>44736</v>
      </c>
    </row>
    <row r="11" spans="1:12" x14ac:dyDescent="0.25">
      <c r="A11" s="8">
        <v>44572</v>
      </c>
      <c r="B11" s="8">
        <v>44587</v>
      </c>
      <c r="C11" s="8">
        <v>44602</v>
      </c>
      <c r="D11" s="8">
        <v>44617</v>
      </c>
      <c r="E11" s="17">
        <v>44632</v>
      </c>
      <c r="F11" s="17">
        <v>44647</v>
      </c>
      <c r="G11" s="8">
        <v>44662</v>
      </c>
      <c r="H11" s="8">
        <v>44677</v>
      </c>
      <c r="I11" s="8">
        <v>44692</v>
      </c>
      <c r="J11" s="8">
        <v>44707</v>
      </c>
      <c r="K11" s="8">
        <v>44722</v>
      </c>
      <c r="L11" s="17">
        <v>44737</v>
      </c>
    </row>
    <row r="12" spans="1:12" x14ac:dyDescent="0.25">
      <c r="A12" s="8">
        <v>44573</v>
      </c>
      <c r="B12" s="8">
        <v>44588</v>
      </c>
      <c r="C12" s="8">
        <v>44603</v>
      </c>
      <c r="D12" s="17">
        <v>44618</v>
      </c>
      <c r="E12" s="17">
        <v>44633</v>
      </c>
      <c r="F12" s="8">
        <v>44648</v>
      </c>
      <c r="G12" s="8">
        <v>44663</v>
      </c>
      <c r="H12" s="8">
        <v>44678</v>
      </c>
      <c r="I12" s="8">
        <v>44693</v>
      </c>
      <c r="J12" s="8">
        <v>44708</v>
      </c>
      <c r="K12" s="17">
        <v>44723</v>
      </c>
      <c r="L12" s="17">
        <v>44738</v>
      </c>
    </row>
    <row r="13" spans="1:12" x14ac:dyDescent="0.25">
      <c r="A13" s="8">
        <v>44574</v>
      </c>
      <c r="B13" s="8">
        <v>44589</v>
      </c>
      <c r="C13" s="17">
        <v>44604</v>
      </c>
      <c r="D13" s="17">
        <v>44619</v>
      </c>
      <c r="E13" s="8">
        <v>44634</v>
      </c>
      <c r="F13" s="8">
        <v>44649</v>
      </c>
      <c r="G13" s="8">
        <v>44664</v>
      </c>
      <c r="H13" s="8">
        <v>44679</v>
      </c>
      <c r="I13" s="8">
        <v>44694</v>
      </c>
      <c r="J13" s="17">
        <v>44709</v>
      </c>
      <c r="K13" s="17">
        <v>44724</v>
      </c>
      <c r="L13" s="8">
        <v>44739</v>
      </c>
    </row>
    <row r="14" spans="1:12" x14ac:dyDescent="0.25">
      <c r="A14" s="8">
        <v>44575</v>
      </c>
      <c r="B14" s="17">
        <v>44590</v>
      </c>
      <c r="C14" s="17">
        <v>44605</v>
      </c>
      <c r="D14" s="8">
        <v>44620</v>
      </c>
      <c r="E14" s="8">
        <v>44635</v>
      </c>
      <c r="F14" s="8">
        <v>44650</v>
      </c>
      <c r="G14" s="8">
        <v>44665</v>
      </c>
      <c r="H14" s="8">
        <v>44680</v>
      </c>
      <c r="I14" s="17">
        <v>44695</v>
      </c>
      <c r="J14" s="17">
        <v>44710</v>
      </c>
      <c r="K14" s="8">
        <v>44725</v>
      </c>
      <c r="L14" s="8">
        <v>44740</v>
      </c>
    </row>
    <row r="15" spans="1:12" x14ac:dyDescent="0.25">
      <c r="A15" s="17">
        <v>44576</v>
      </c>
      <c r="B15" s="17">
        <v>44591</v>
      </c>
      <c r="C15" s="8">
        <v>44606</v>
      </c>
      <c r="D15" s="8">
        <v>44621</v>
      </c>
      <c r="E15" s="8">
        <v>44636</v>
      </c>
      <c r="F15" s="8">
        <v>44651</v>
      </c>
      <c r="G15" s="8">
        <v>44666</v>
      </c>
      <c r="H15" s="17">
        <v>44681</v>
      </c>
      <c r="I15" s="17">
        <v>44696</v>
      </c>
      <c r="J15" s="8">
        <v>44711</v>
      </c>
      <c r="K15" s="8">
        <v>44726</v>
      </c>
      <c r="L15" s="8">
        <v>44741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CDE7D-F39B-4C54-9D4C-9FC4FD825B0C}">
  <sheetPr codeName="Hoja13"/>
  <dimension ref="A1:E13"/>
  <sheetViews>
    <sheetView workbookViewId="0">
      <selection activeCell="B2" sqref="B2"/>
    </sheetView>
  </sheetViews>
  <sheetFormatPr baseColWidth="10" defaultRowHeight="15" x14ac:dyDescent="0.25"/>
  <sheetData>
    <row r="1" spans="1:5" x14ac:dyDescent="0.25">
      <c r="A1" t="s">
        <v>43</v>
      </c>
      <c r="E1" t="e" cm="1">
        <f t="array" aca="1" ref="E1" ca="1">ecuacion(2,-8,3)</f>
        <v>#NAME?</v>
      </c>
    </row>
    <row r="2" spans="1:5" x14ac:dyDescent="0.25">
      <c r="A2" t="s">
        <v>44</v>
      </c>
    </row>
    <row r="3" spans="1:5" x14ac:dyDescent="0.25">
      <c r="A3" t="s">
        <v>45</v>
      </c>
    </row>
    <row r="4" spans="1:5" x14ac:dyDescent="0.25">
      <c r="A4" t="s">
        <v>46</v>
      </c>
    </row>
    <row r="5" spans="1:5" x14ac:dyDescent="0.25">
      <c r="A5" t="s">
        <v>47</v>
      </c>
    </row>
    <row r="6" spans="1:5" x14ac:dyDescent="0.25">
      <c r="A6" t="s">
        <v>48</v>
      </c>
    </row>
    <row r="7" spans="1:5" x14ac:dyDescent="0.25">
      <c r="A7" t="s">
        <v>49</v>
      </c>
    </row>
    <row r="8" spans="1:5" x14ac:dyDescent="0.25">
      <c r="A8" t="s">
        <v>50</v>
      </c>
    </row>
    <row r="9" spans="1:5" x14ac:dyDescent="0.25">
      <c r="A9" t="s">
        <v>51</v>
      </c>
    </row>
    <row r="10" spans="1:5" x14ac:dyDescent="0.25">
      <c r="A10" t="s">
        <v>52</v>
      </c>
    </row>
    <row r="11" spans="1:5" x14ac:dyDescent="0.25">
      <c r="A11" t="s">
        <v>53</v>
      </c>
    </row>
    <row r="12" spans="1:5" x14ac:dyDescent="0.25">
      <c r="A12" t="s">
        <v>54</v>
      </c>
    </row>
    <row r="13" spans="1:5" x14ac:dyDescent="0.25">
      <c r="A1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</vt:i4>
      </vt:variant>
    </vt:vector>
  </HeadingPairs>
  <TitlesOfParts>
    <vt:vector size="14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FechaActual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</dc:creator>
  <cp:lastModifiedBy>Nuno</cp:lastModifiedBy>
  <cp:lastPrinted>2023-05-04T18:34:23Z</cp:lastPrinted>
  <dcterms:created xsi:type="dcterms:W3CDTF">2023-05-03T14:16:34Z</dcterms:created>
  <dcterms:modified xsi:type="dcterms:W3CDTF">2023-05-14T19:16:54Z</dcterms:modified>
</cp:coreProperties>
</file>